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6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Datos de entrada" sheetId="1" state="visible" r:id="rId3"/>
    <sheet name="Medidor Bidireccional" sheetId="2" state="visible" r:id="rId4"/>
    <sheet name="Datos técnicos" sheetId="3" state="visible" r:id="rId5"/>
    <sheet name="Eco-fin" sheetId="4" state="visible" r:id="rId6"/>
    <sheet name="Resultados" sheetId="5" state="visible" r:id="rId7"/>
    <sheet name="Parametros" sheetId="6" state="visible" r:id="rId8"/>
    <sheet name="aux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Ing. Cristian J. Pelusso</author>
  </authors>
  <commentList>
    <comment ref="A2" authorId="0">
      <text>
        <r>
          <rPr>
            <sz val="10"/>
            <rFont val="Arial"/>
            <family val="2"/>
          </rPr>
          <t xml:space="preserve">Ing. Cristian J. Pelusso:
</t>
        </r>
        <r>
          <rPr>
            <sz val="9"/>
            <color rgb="FF000000"/>
            <rFont val="Tahoma"/>
            <family val="2"/>
            <charset val="1"/>
          </rPr>
          <t xml:space="preserve">Se elige por el usuario app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86</xdr:colOff>
                <xdr:row>0</xdr:row>
                <xdr:rowOff>10</xdr:rowOff>
              </xdr:from>
              <xdr:to>
                <xdr:col>2</xdr:col>
                <xdr:colOff>139</xdr:colOff>
                <xdr:row>4</xdr:row>
                <xdr:rowOff>10</xdr:rowOff>
              </xdr:to>
            </anchor>
          </commentPr>
        </mc:Choice>
        <mc:Fallback/>
      </mc:AlternateContent>
    </comment>
    <comment ref="A5" authorId="0">
      <text>
        <r>
          <rPr>
            <sz val="10"/>
            <rFont val="Arial"/>
            <family val="2"/>
          </rPr>
          <t xml:space="preserve">Ing. Cristian J. Pelusso:
</t>
        </r>
        <r>
          <rPr>
            <sz val="9"/>
            <color rgb="FF000000"/>
            <rFont val="Tahoma"/>
            <family val="2"/>
            <charset val="1"/>
          </rPr>
          <t xml:space="preserve">ojo, no hay que especificar, enero, febrero, etc, solo mes 1, 2, 3, etc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236</xdr:colOff>
                <xdr:row>3</xdr:row>
                <xdr:rowOff>9</xdr:rowOff>
              </xdr:from>
              <xdr:to>
                <xdr:col>1</xdr:col>
                <xdr:colOff>36</xdr:colOff>
                <xdr:row>7</xdr:row>
                <xdr:rowOff>8</xdr:rowOff>
              </xdr:to>
            </anchor>
          </commentPr>
        </mc:Choice>
        <mc:Fallback/>
      </mc:AlternateContent>
    </comment>
    <comment ref="B2" authorId="0">
      <text>
        <r>
          <rPr>
            <sz val="10"/>
            <rFont val="Arial"/>
            <family val="2"/>
          </rPr>
          <t xml:space="preserve">Ing. Cristian J. Pelusso:
</t>
        </r>
        <r>
          <rPr>
            <sz val="9"/>
            <color rgb="FF000000"/>
            <rFont val="Tahoma"/>
            <family val="2"/>
            <charset val="1"/>
          </rPr>
          <t xml:space="preserve">Lo ingresa el usuario app para tarifas T2CMP en adelante (en caso de no ingresar, dejar en cero, NO ES OBLIGATORIO)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272</xdr:colOff>
                <xdr:row>0</xdr:row>
                <xdr:rowOff>9</xdr:rowOff>
              </xdr:from>
              <xdr:to>
                <xdr:col>2</xdr:col>
                <xdr:colOff>1</xdr:colOff>
                <xdr:row>9</xdr:row>
                <xdr:rowOff>3</xdr:rowOff>
              </xdr:to>
            </anchor>
          </commentPr>
        </mc:Choice>
        <mc:Fallback/>
      </mc:AlternateContent>
    </comment>
    <comment ref="B5" authorId="0">
      <text>
        <r>
          <rPr>
            <sz val="10"/>
            <rFont val="Arial"/>
            <family val="2"/>
          </rPr>
          <t xml:space="preserve">Ing. Cristian J. Pelusso:
</t>
        </r>
        <r>
          <rPr>
            <sz val="9"/>
            <color rgb="FF000000"/>
            <rFont val="Tahoma"/>
            <family val="2"/>
            <charset val="1"/>
          </rPr>
          <t xml:space="preserve">en caso que el usuario no ingrese nada, se toma el sugerido, si decide ingresar, se toma el ingresado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66</xdr:colOff>
                <xdr:row>3</xdr:row>
                <xdr:rowOff>10</xdr:rowOff>
              </xdr:from>
              <xdr:to>
                <xdr:col>4</xdr:col>
                <xdr:colOff>47</xdr:colOff>
                <xdr:row>11</xdr:row>
                <xdr:rowOff>5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Eficiencia instalación 95%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16</xdr:colOff>
                <xdr:row>19</xdr:row>
                <xdr:rowOff>10</xdr:rowOff>
              </xdr:from>
              <xdr:to>
                <xdr:col>3</xdr:col>
                <xdr:colOff>0</xdr:colOff>
                <xdr:row>23</xdr:row>
                <xdr:rowOff>10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Ing. Cristian J. Pelusso:
</t>
        </r>
        <r>
          <rPr>
            <sz val="9"/>
            <color rgb="FF000000"/>
            <rFont val="Tahoma"/>
            <family val="2"/>
            <charset val="1"/>
          </rPr>
          <t xml:space="preserve">limitar a 1,5MW o a MCSC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80</xdr:colOff>
                <xdr:row>22</xdr:row>
                <xdr:rowOff>9</xdr:rowOff>
              </xdr:from>
              <xdr:to>
                <xdr:col>4</xdr:col>
                <xdr:colOff>48</xdr:colOff>
                <xdr:row>26</xdr:row>
                <xdr:rowOff>9</xdr:rowOff>
              </xdr:to>
            </anchor>
          </commentPr>
        </mc:Choice>
        <mc:Fallback/>
      </mc:AlternateContent>
    </comment>
    <comment ref="D4" authorId="0">
      <text>
        <r>
          <rPr>
            <sz val="10"/>
            <rFont val="Arial"/>
            <family val="2"/>
          </rPr>
          <t xml:space="preserve">Ing. Cristian J. Pelusso:
</t>
        </r>
        <r>
          <rPr>
            <sz val="9"/>
            <color rgb="FF000000"/>
            <rFont val="Tahoma"/>
            <family val="2"/>
            <charset val="1"/>
          </rPr>
          <t xml:space="preserve">son los que se usan para calculo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15</xdr:colOff>
                <xdr:row>2</xdr:row>
                <xdr:rowOff>9</xdr:rowOff>
              </xdr:from>
              <xdr:to>
                <xdr:col>10</xdr:col>
                <xdr:colOff>-192</xdr:colOff>
                <xdr:row>6</xdr:row>
                <xdr:rowOff>9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EPRE</author>
  </authors>
  <commentList>
    <comment ref="B10" authorId="0">
      <text>
        <r>
          <rPr>
            <sz val="10"/>
            <rFont val="Arial"/>
            <family val="2"/>
          </rPr>
          <t xml:space="preserve">cf. Base Capital 6º RTE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8</xdr:row>
                <xdr:rowOff>9</xdr:rowOff>
              </xdr:from>
              <xdr:to>
                <xdr:col>3</xdr:col>
                <xdr:colOff>-83</xdr:colOff>
                <xdr:row>12</xdr:row>
                <xdr:rowOff>12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Tarifas SEP24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20</xdr:row>
                <xdr:rowOff>14</xdr:rowOff>
              </xdr:from>
              <xdr:to>
                <xdr:col>3</xdr:col>
                <xdr:colOff>-83</xdr:colOff>
                <xdr:row>24</xdr:row>
                <xdr:rowOff>9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pondera 20,08% pico, 19,77% valle, 60,15% resto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25</xdr:row>
                <xdr:rowOff>14</xdr:rowOff>
              </xdr:from>
              <xdr:to>
                <xdr:col>3</xdr:col>
                <xdr:colOff>-83</xdr:colOff>
                <xdr:row>29</xdr:row>
                <xdr:rowOff>9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pondera 15,38% pico, 19,00% valle, 65,62% resto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26</xdr:row>
                <xdr:rowOff>14</xdr:rowOff>
              </xdr:from>
              <xdr:to>
                <xdr:col>3</xdr:col>
                <xdr:colOff>-83</xdr:colOff>
                <xdr:row>30</xdr:row>
                <xdr:rowOff>14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pondera 6,15% pico, 13,74% valle, 80,10% resto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27</xdr:row>
                <xdr:rowOff>14</xdr:rowOff>
              </xdr:from>
              <xdr:to>
                <xdr:col>3</xdr:col>
                <xdr:colOff>-83</xdr:colOff>
                <xdr:row>31</xdr:row>
                <xdr:rowOff>19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<sst xmlns="http://schemas.openxmlformats.org/spreadsheetml/2006/main" count="238" uniqueCount="176">
  <si>
    <t xml:space="preserve">Tipo Usuario</t>
  </si>
  <si>
    <t xml:space="preserve">Potencia Contratada (kW)</t>
  </si>
  <si>
    <t xml:space="preserve">Potencia Contratada sugerida</t>
  </si>
  <si>
    <t xml:space="preserve">Potencia adoptada</t>
  </si>
  <si>
    <t xml:space="preserve">Pequeña Demanda Residencial (T1-R1, T1-R2 o T1-R3)</t>
  </si>
  <si>
    <t xml:space="preserve">Datos de consumo energético 12 meses anteriores</t>
  </si>
  <si>
    <t xml:space="preserve">Valores Ingresados app</t>
  </si>
  <si>
    <t xml:space="preserve">Valores sugeridos energia</t>
  </si>
  <si>
    <t xml:space="preserve">Valores adoptados</t>
  </si>
  <si>
    <t xml:space="preserve">Consumo mes 1 (kWh)</t>
  </si>
  <si>
    <t xml:space="preserve">Consumo mes 2 (kWh)</t>
  </si>
  <si>
    <t xml:space="preserve">Consumo mes 3 (kWh)</t>
  </si>
  <si>
    <t xml:space="preserve">Consumo mes 4 (kWh)</t>
  </si>
  <si>
    <t xml:space="preserve">Consumo mes 5 (kWh)</t>
  </si>
  <si>
    <t xml:space="preserve">Consumo mes 6 (kWh)</t>
  </si>
  <si>
    <t xml:space="preserve">Consumo mes 7 (kWh)</t>
  </si>
  <si>
    <t xml:space="preserve">Consumo mes 8 (kWh)</t>
  </si>
  <si>
    <t xml:space="preserve">Consumo mes 9 (kWh)</t>
  </si>
  <si>
    <t xml:space="preserve">Consumo mes 10 (kWh)</t>
  </si>
  <si>
    <t xml:space="preserve">Consumo mes 11 (kWh)</t>
  </si>
  <si>
    <t xml:space="preserve">Consumo mes 12 (kWh)</t>
  </si>
  <si>
    <t xml:space="preserve">Total consumo anual (kWh)</t>
  </si>
  <si>
    <t xml:space="preserve">Datos de la Solar API</t>
  </si>
  <si>
    <t xml:space="preserve">yearlyEnergyDCkWh</t>
  </si>
  <si>
    <t xml:space="preserve">yearlyEnergyACkWh</t>
  </si>
  <si>
    <t xml:space="preserve">Energía Anual Generada App</t>
  </si>
  <si>
    <t xml:space="preserve">Número de paneles</t>
  </si>
  <si>
    <t xml:space="preserve">Verificación manual de la energía anual generada</t>
  </si>
  <si>
    <t xml:space="preserve">Capacidad paneles (W)</t>
  </si>
  <si>
    <t xml:space="preserve">Tamaño de la instalación (Wp)</t>
  </si>
  <si>
    <t xml:space="preserve">Emisiones de GEI</t>
  </si>
  <si>
    <t xml:space="preserve">Factor de emisión (KgCO2/MWh)</t>
  </si>
  <si>
    <t xml:space="preserve">Factor de emisión (tCO2/MWh)</t>
  </si>
  <si>
    <t xml:space="preserve">Cálculo manual</t>
  </si>
  <si>
    <t xml:space="preserve">Ahorros Económicos</t>
  </si>
  <si>
    <t xml:space="preserve">USD-año</t>
  </si>
  <si>
    <t xml:space="preserve">Costo de Instalación</t>
  </si>
  <si>
    <t xml:space="preserve">USD</t>
  </si>
  <si>
    <t xml:space="preserve">Recupero de Inversión</t>
  </si>
  <si>
    <t xml:space="preserve">meses</t>
  </si>
  <si>
    <t xml:space="preserve">años</t>
  </si>
  <si>
    <t xml:space="preserve">Potencia de la Instalación</t>
  </si>
  <si>
    <t xml:space="preserve">kW</t>
  </si>
  <si>
    <t xml:space="preserve">Energía Anual Generada</t>
  </si>
  <si>
    <t xml:space="preserve">kWh-año</t>
  </si>
  <si>
    <t xml:space="preserve">Superficie de Paneles</t>
  </si>
  <si>
    <t xml:space="preserve">m2</t>
  </si>
  <si>
    <t xml:space="preserve">Tarifas de Intercambio</t>
  </si>
  <si>
    <t xml:space="preserve">USD/kWh</t>
  </si>
  <si>
    <t xml:space="preserve">Emisiones de CO2</t>
  </si>
  <si>
    <t xml:space="preserve">tCO2/año</t>
  </si>
  <si>
    <t xml:space="preserve">Resultados API</t>
  </si>
  <si>
    <t xml:space="preserve">Nota: De la imagen mostrada se están ingresando los "Datos de la Solar API"</t>
  </si>
  <si>
    <r>
      <rPr>
        <sz val="11"/>
        <rFont val="Aptos Narrow"/>
        <family val="2"/>
        <charset val="1"/>
      </rPr>
      <t xml:space="preserve">Nota: De esta imagen se obtiene la cantidad equivalente de CO2 producida por MWh electricidad de la red ("</t>
    </r>
    <r>
      <rPr>
        <i val="true"/>
        <sz val="11"/>
        <color theme="3" tint="0.4999"/>
        <rFont val="Aptos Narrow"/>
        <family val="2"/>
        <charset val="1"/>
      </rPr>
      <t xml:space="preserve">carbonOffsetFactorKgPerMWh</t>
    </r>
    <r>
      <rPr>
        <sz val="11"/>
        <rFont val="Aptos Narrow"/>
        <family val="2"/>
        <charset val="1"/>
      </rPr>
      <t xml:space="preserve">"). Esta es una medida de la intensidad de carbono de la electricidad de la red desplazada por la electricidad solar.</t>
    </r>
  </si>
  <si>
    <t xml:space="preserve">Costo Medidor Bidireccional
Res 053/22</t>
  </si>
  <si>
    <t xml:space="preserve"> más IVA</t>
  </si>
  <si>
    <t xml:space="preserve">monto expresado al 30/10/21</t>
  </si>
  <si>
    <t xml:space="preserve">Resolución EPRE Nº 053/22: 
RESUELVE, Inciso c) Se autoriza a las Distribuidoras a requerir de los usuarios como costo de provisión de los equipos de medición bidireccional para el registro de variables eléctricas en los suministros la suma de pesos CINCUENTA Y CUATRO MIL SEISCIENTOS CON 00/100 ($54.600,00), más IVA, monto expresado al 30/10/21, que se redeterminará en idéntica proporción a las variaciones que experimente la Base de Capital Regulatorio aprobada en cada Revisión Tarifaria Ordinaria o Extraordinaria. Energía San Juan S.A. y D.E.C.S.A., deberán presentar trimestralmente informes sustanciados detallando las características técnicas de los equipos adquiridos, el destino de los mismos, y todo otro dato de interés, correspondiendo la primera presentación en el plazo de quince (15) días de notificada la presente. En función de los Informes presentados y de los análisis que se realicen, este E.P.R.E. podrá modificar el valor autorizado.</t>
  </si>
  <si>
    <t xml:space="preserve">IVA</t>
  </si>
  <si>
    <t xml:space="preserve">Base de capital
MM$</t>
  </si>
  <si>
    <t xml:space="preserve">Fecha Res</t>
  </si>
  <si>
    <t xml:space="preserve">Variación</t>
  </si>
  <si>
    <t xml:space="preserve">Fecha</t>
  </si>
  <si>
    <t xml:space="preserve">Observaciones</t>
  </si>
  <si>
    <t xml:space="preserve">Costo medidor reexpresado</t>
  </si>
  <si>
    <t xml:space="preserve">Res 649/21</t>
  </si>
  <si>
    <t xml:space="preserve">-</t>
  </si>
  <si>
    <t xml:space="preserve">Valor al 30/10/21</t>
  </si>
  <si>
    <t xml:space="preserve">Res 226/22</t>
  </si>
  <si>
    <t xml:space="preserve">Valor al 30/04/22</t>
  </si>
  <si>
    <t xml:space="preserve">Res 717/22</t>
  </si>
  <si>
    <t xml:space="preserve">Valor al 31/10/22</t>
  </si>
  <si>
    <t xml:space="preserve">índices proyectados</t>
  </si>
  <si>
    <t xml:space="preserve">Res 152/23</t>
  </si>
  <si>
    <t xml:space="preserve">índices publicados</t>
  </si>
  <si>
    <t xml:space="preserve">Valor al 30/04/23</t>
  </si>
  <si>
    <t xml:space="preserve">Res 884/23 (5º RTE)</t>
  </si>
  <si>
    <t xml:space="preserve">Valor al 31/10/23</t>
  </si>
  <si>
    <t xml:space="preserve">Res 085/24</t>
  </si>
  <si>
    <t xml:space="preserve">Valor al 30/04/24</t>
  </si>
  <si>
    <t xml:space="preserve">Nota ACC 1970/24</t>
  </si>
  <si>
    <t xml:space="preserve">Res 756/24</t>
  </si>
  <si>
    <t xml:space="preserve">Valor al 31/10/24</t>
  </si>
  <si>
    <t xml:space="preserve">Caracteristicas del sistema FV</t>
  </si>
  <si>
    <t xml:space="preserve">Eficiencia instalacion (%)</t>
  </si>
  <si>
    <t xml:space="preserve">Degradación anual paneles (%)</t>
  </si>
  <si>
    <t xml:space="preserve">Proporción de autoconsumo</t>
  </si>
  <si>
    <t xml:space="preserve">Proporción de inyección</t>
  </si>
  <si>
    <t xml:space="preserve">Tarifa asignada</t>
  </si>
  <si>
    <t xml:space="preserve">MCSC Asignada</t>
  </si>
  <si>
    <t xml:space="preserve">Generación fotovoltaica (kWh/año)</t>
  </si>
  <si>
    <t xml:space="preserve">Energía Consumida (kWh/año)</t>
  </si>
  <si>
    <t xml:space="preserve">Flujo de energia autoconsumida (kWh/año)</t>
  </si>
  <si>
    <t xml:space="preserve">Flujo de energía inyectada (kWh/año)</t>
  </si>
  <si>
    <t xml:space="preserve">Emisiones GEI evitadas (tCO2)</t>
  </si>
  <si>
    <t xml:space="preserve">Flujo de ingresos monetarios</t>
  </si>
  <si>
    <t xml:space="preserve">Ahorro en factura electricidad total (USD)</t>
  </si>
  <si>
    <t xml:space="preserve">Ingresos por inyeccion de electricidad (USD)</t>
  </si>
  <si>
    <t xml:space="preserve">Credito fiscal (USD)</t>
  </si>
  <si>
    <t xml:space="preserve">Tipo de cambio (ARS)</t>
  </si>
  <si>
    <t xml:space="preserve">Cuadro tarifario</t>
  </si>
  <si>
    <t xml:space="preserve">Tarifas consumo de energía (ARS)</t>
  </si>
  <si>
    <t xml:space="preserve">Tarifas inyección de energía (ARS)</t>
  </si>
  <si>
    <t xml:space="preserve">Proyección de tarifas</t>
  </si>
  <si>
    <t xml:space="preserve">Cargo variable consumo (USD/kWh)</t>
  </si>
  <si>
    <t xml:space="preserve">Cargo variable inyección (USD/kWh)</t>
  </si>
  <si>
    <t xml:space="preserve">Tasa anual aumento de tarifas</t>
  </si>
  <si>
    <t xml:space="preserve">Otros impuestos</t>
  </si>
  <si>
    <t xml:space="preserve">Impuestos provinciales y tasas municipales</t>
  </si>
  <si>
    <t xml:space="preserve">Inversion y costos</t>
  </si>
  <si>
    <t xml:space="preserve">Costo (USD/Wp)</t>
  </si>
  <si>
    <t xml:space="preserve">Equipo de medición (USD)</t>
  </si>
  <si>
    <t xml:space="preserve">Costo de inversión (USD)</t>
  </si>
  <si>
    <t xml:space="preserve">Costo de mantenimiento (USD)</t>
  </si>
  <si>
    <t xml:space="preserve">Flujo de fondos</t>
  </si>
  <si>
    <t xml:space="preserve">Tasa de descuento</t>
  </si>
  <si>
    <t xml:space="preserve">Caso con capital propio</t>
  </si>
  <si>
    <t xml:space="preserve">Flujo de ingresos</t>
  </si>
  <si>
    <t xml:space="preserve">Flujo de egresos</t>
  </si>
  <si>
    <t xml:space="preserve">Inversiones</t>
  </si>
  <si>
    <t xml:space="preserve">Flujo acumulado</t>
  </si>
  <si>
    <t xml:space="preserve">Indicadores financieros</t>
  </si>
  <si>
    <t xml:space="preserve">VAN</t>
  </si>
  <si>
    <t xml:space="preserve">TIR</t>
  </si>
  <si>
    <t xml:space="preserve">Pay Back Simple (años)</t>
  </si>
  <si>
    <t xml:space="preserve">Emisiones de GEI evitadas (tCO2) por año</t>
  </si>
  <si>
    <t xml:space="preserve">no se utiliza (ver si es el que se usa en celda B21 datos de entrada)</t>
  </si>
  <si>
    <t xml:space="preserve">anual</t>
  </si>
  <si>
    <t xml:space="preserve">es la proporción de energía generada que autoconsumo (hipótesis)</t>
  </si>
  <si>
    <t xml:space="preserve">Costo (USD/Wp) CON IVA</t>
  </si>
  <si>
    <t xml:space="preserve">Costo (USD/Wp) aplicado</t>
  </si>
  <si>
    <t xml:space="preserve">incluye IVA para T1</t>
  </si>
  <si>
    <t xml:space="preserve">Equipo de medición ($AR) SIN IVA</t>
  </si>
  <si>
    <t xml:space="preserve">al 24/04/26</t>
  </si>
  <si>
    <t xml:space="preserve">IVA Equipo de medición</t>
  </si>
  <si>
    <t xml:space="preserve">Equipo de medición (USD) aplicado</t>
  </si>
  <si>
    <t xml:space="preserve">Mantenimiento (% inversión inicial)</t>
  </si>
  <si>
    <t xml:space="preserve">Costo de mantenimiento inicial (USD/año)</t>
  </si>
  <si>
    <t xml:space="preserve">Economicos</t>
  </si>
  <si>
    <t xml:space="preserve">BNA cotiz. billete vendedor al 07/07/26</t>
  </si>
  <si>
    <t xml:space="preserve">Tasa inflación (en USD)</t>
  </si>
  <si>
    <t xml:space="preserve">Tasa de descuento Flujo Fondos (USD)</t>
  </si>
  <si>
    <t xml:space="preserve">Cuadro tarifario actual</t>
  </si>
  <si>
    <t xml:space="preserve">Tarifa</t>
  </si>
  <si>
    <t xml:space="preserve">Cargo variable consumo (ARS/kWh) (*)</t>
  </si>
  <si>
    <t xml:space="preserve">Cargo variable inyección (ARS/kWh) (*)</t>
  </si>
  <si>
    <t xml:space="preserve">Tensión</t>
  </si>
  <si>
    <t xml:space="preserve">T1-R</t>
  </si>
  <si>
    <t xml:space="preserve">baja</t>
  </si>
  <si>
    <t xml:space="preserve">T1-G</t>
  </si>
  <si>
    <t xml:space="preserve">T2-SMP</t>
  </si>
  <si>
    <t xml:space="preserve">T2-CMP</t>
  </si>
  <si>
    <t xml:space="preserve">T3-BT</t>
  </si>
  <si>
    <t xml:space="preserve">T3-MT 13,2R</t>
  </si>
  <si>
    <t xml:space="preserve">media</t>
  </si>
  <si>
    <t xml:space="preserve">TRA-SD</t>
  </si>
  <si>
    <t xml:space="preserve">(*) Para el Caso de T3 y TRA se coloca el cargo Horas Resto</t>
  </si>
  <si>
    <t xml:space="preserve">Impuestos y tasas provinciales</t>
  </si>
  <si>
    <t xml:space="preserve">Total impuestos</t>
  </si>
  <si>
    <t xml:space="preserve">incluye IVA para T1. Valor que toma la hoja "Eco-fin" para los cálculos</t>
  </si>
  <si>
    <t xml:space="preserve">Elegido</t>
  </si>
  <si>
    <t xml:space="preserve">Consumos Mensuales</t>
  </si>
  <si>
    <t xml:space="preserve">TOTAL red</t>
  </si>
  <si>
    <t xml:space="preserve">TOTAL calc fc</t>
  </si>
  <si>
    <t xml:space="preserve">fc</t>
  </si>
  <si>
    <t xml:space="preserve">Pot Max sugerida</t>
  </si>
  <si>
    <t xml:space="preserve">Pot Max asignada</t>
  </si>
  <si>
    <t xml:space="preserve">Pot Max minima</t>
  </si>
  <si>
    <t xml:space="preserve">Pot Max Maxima</t>
  </si>
  <si>
    <t xml:space="preserve">Tabla Tarifas</t>
  </si>
  <si>
    <t xml:space="preserve">Pequeña Demanda General (T1-G1, T1-G2 o T1-G3)</t>
  </si>
  <si>
    <t xml:space="preserve">Mediana Demanda sin Medición de Potencia (T2-SMP)</t>
  </si>
  <si>
    <t xml:space="preserve">Mediana Demanda con Medición de Potencia (T2-CMP)</t>
  </si>
  <si>
    <t xml:space="preserve">Grande Demanda en Baja Tensión (T3-BT)</t>
  </si>
  <si>
    <t xml:space="preserve">Grande Demanda en Media Tensión (T3-MT13,2 kV, T3-MT 33 kV)</t>
  </si>
  <si>
    <t xml:space="preserve">Riego Agrícola (TRA-SD)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</si>
</sst>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0.0000"/>
    <numFmt numFmtId="166" formatCode="#,##0"/>
    <numFmt numFmtId="167" formatCode="_-* #,##0.00_-;\-* #,##0.00_-;_-* \-??_-;_-@_-"/>
    <numFmt numFmtId="168" formatCode="_-* #,##0_-;\-* #,##0_-;_-* \-??_-;_-@_-"/>
    <numFmt numFmtId="169" formatCode="0.00"/>
    <numFmt numFmtId="170" formatCode="0.000"/>
    <numFmt numFmtId="171" formatCode="#,##0.00"/>
    <numFmt numFmtId="172" formatCode="#,##0.000"/>
    <numFmt numFmtId="173" formatCode="0\ %"/>
    <numFmt numFmtId="174" formatCode="0.00\ %"/>
    <numFmt numFmtId="175" formatCode="[$$-2C0A]\ #,##0.00"/>
    <numFmt numFmtId="176" formatCode="0.0%"/>
    <numFmt numFmtId="177" formatCode="dd/mm/yyyy"/>
    <numFmt numFmtId="178" formatCode="0.00000"/>
    <numFmt numFmtId="179" formatCode="\$#,##0.00"/>
    <numFmt numFmtId="180" formatCode="_-* #,##0.0000_-;\-* #,##0.0000_-;_-* \-??_-;_-@_-"/>
    <numFmt numFmtId="181" formatCode="[$ARS]\ #,##0.00"/>
  </numFmts>
  <fonts count="1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theme="1"/>
      <name val="Aptos Narrow"/>
      <family val="0"/>
      <charset val="1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name val="Arial"/>
      <family val="2"/>
      <charset val="1"/>
    </font>
    <font>
      <sz val="11"/>
      <color rgb="FFFF0000"/>
      <name val="Aptos Narrow"/>
      <family val="2"/>
      <charset val="1"/>
    </font>
    <font>
      <sz val="11"/>
      <name val="Aptos Narrow"/>
      <family val="2"/>
      <charset val="1"/>
    </font>
    <font>
      <b val="true"/>
      <sz val="11"/>
      <name val="Aptos Narrow"/>
      <family val="2"/>
      <charset val="1"/>
    </font>
    <font>
      <sz val="17"/>
      <color rgb="FF006241"/>
      <name val="Arial"/>
      <family val="2"/>
      <charset val="1"/>
    </font>
    <font>
      <i val="true"/>
      <sz val="11"/>
      <color theme="3" tint="0.4999"/>
      <name val="Aptos Narrow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b val="true"/>
      <sz val="11"/>
      <color theme="1"/>
      <name val="Aptos Narrow"/>
      <family val="2"/>
      <charset val="1"/>
    </font>
    <font>
      <i val="true"/>
      <sz val="11"/>
      <color theme="1"/>
      <name val="Aptos Narrow"/>
      <family val="0"/>
      <charset val="1"/>
    </font>
    <font>
      <sz val="11"/>
      <color theme="1"/>
      <name val="Aptos Narrow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2D69B"/>
        <bgColor rgb="FFB4E5A2"/>
      </patternFill>
    </fill>
    <fill>
      <patternFill patternType="solid">
        <fgColor theme="9" tint="0.5999"/>
        <bgColor rgb="FFC2D69B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C2D69B"/>
      </patternFill>
    </fill>
    <fill>
      <patternFill patternType="solid">
        <fgColor theme="4" tint="0.5999"/>
        <bgColor rgb="FF9999FF"/>
      </patternFill>
    </fill>
    <fill>
      <patternFill patternType="solid">
        <fgColor theme="9"/>
        <bgColor rgb="FF808000"/>
      </patternFill>
    </fill>
    <fill>
      <patternFill patternType="solid">
        <fgColor theme="8" tint="0.3999"/>
        <bgColor rgb="FFCC99FF"/>
      </patternFill>
    </fill>
    <fill>
      <patternFill patternType="solid">
        <fgColor rgb="FFFBD4B4"/>
        <bgColor rgb="FFFFC7CE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6" fillId="3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2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2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5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6" fontId="0" fillId="0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75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6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0" fillId="6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5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2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9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0" fillId="2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6" fillId="2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6" fillId="5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6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ares 7" xfId="20"/>
    <cellStyle name="Normal 3" xfId="21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6241"/>
      <rgbColor rgb="FFC2D69B"/>
      <rgbColor rgb="FF808080"/>
      <rgbColor rgb="FF9999FF"/>
      <rgbColor rgb="FF993366"/>
      <rgbColor rgb="FFFFFFCC"/>
      <rgbColor rgb="FFB4E5A2"/>
      <rgbColor rgb="FF660066"/>
      <rgbColor rgb="FFD86ECC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83CBEB"/>
      <rgbColor rgb="FFFF99CC"/>
      <rgbColor rgb="FFCC99FF"/>
      <rgbColor rgb="FFFBD4B4"/>
      <rgbColor rgb="FF4E95D9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4EA7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59040</xdr:colOff>
      <xdr:row>60</xdr:row>
      <xdr:rowOff>123840</xdr:rowOff>
    </xdr:from>
    <xdr:to>
      <xdr:col>2</xdr:col>
      <xdr:colOff>216720</xdr:colOff>
      <xdr:row>75</xdr:row>
      <xdr:rowOff>3960</xdr:rowOff>
    </xdr:to>
    <xdr:pic>
      <xdr:nvPicPr>
        <xdr:cNvPr id="1" name="Picture 2"/>
        <xdr:cNvPicPr/>
      </xdr:nvPicPr>
      <xdr:blipFill>
        <a:blip r:embed="rId1"/>
        <a:srcRect l="0" t="57540" r="0" b="0"/>
        <a:stretch/>
      </xdr:blipFill>
      <xdr:spPr>
        <a:xfrm>
          <a:off x="59040" y="12382560"/>
          <a:ext cx="3570120" cy="273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82</xdr:row>
      <xdr:rowOff>32400</xdr:rowOff>
    </xdr:from>
    <xdr:to>
      <xdr:col>2</xdr:col>
      <xdr:colOff>66960</xdr:colOff>
      <xdr:row>92</xdr:row>
      <xdr:rowOff>127800</xdr:rowOff>
    </xdr:to>
    <xdr:pic>
      <xdr:nvPicPr>
        <xdr:cNvPr id="2" name="Picture 1"/>
        <xdr:cNvPicPr/>
      </xdr:nvPicPr>
      <xdr:blipFill>
        <a:blip r:embed="rId2"/>
        <a:stretch/>
      </xdr:blipFill>
      <xdr:spPr>
        <a:xfrm>
          <a:off x="0" y="16482240"/>
          <a:ext cx="3479400" cy="2000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6" activeCellId="0" sqref="B36"/>
    </sheetView>
  </sheetViews>
  <sheetFormatPr defaultColWidth="9.00390625" defaultRowHeight="15" customHeight="false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13.57"/>
    <col collapsed="false" customWidth="true" hidden="false" outlineLevel="0" max="3" min="3" style="0" width="24.42"/>
    <col collapsed="false" customWidth="true" hidden="false" outlineLevel="0" max="4" min="4" style="0" width="22"/>
    <col collapsed="false" customWidth="true" hidden="false" outlineLevel="0" max="5" min="5" style="0" width="17.42"/>
    <col collapsed="false" customWidth="true" hidden="false" outlineLevel="0" max="6" min="6" style="0" width="17"/>
    <col collapsed="false" customWidth="true" hidden="false" outlineLevel="0" max="9" min="9" style="0" width="8.42"/>
    <col collapsed="false" customWidth="true" hidden="false" outlineLevel="0" max="10" min="10" style="0" width="55.42"/>
    <col collapsed="false" customWidth="true" hidden="false" outlineLevel="0" max="11" min="11" style="0" width="11.42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3" t="s">
        <v>4</v>
      </c>
      <c r="B2" s="4" t="n">
        <v>10</v>
      </c>
      <c r="C2" s="5" t="n">
        <f aca="false">+aux!I19</f>
        <v>0</v>
      </c>
      <c r="D2" s="5" t="n">
        <f aca="false">+aux!I20</f>
        <v>10</v>
      </c>
    </row>
    <row r="4" customFormat="false" ht="15" hidden="false" customHeight="false" outlineLevel="0" collapsed="false">
      <c r="A4" s="6" t="s">
        <v>5</v>
      </c>
      <c r="B4" s="7" t="s">
        <v>6</v>
      </c>
      <c r="C4" s="2" t="s">
        <v>7</v>
      </c>
      <c r="D4" s="2" t="s">
        <v>8</v>
      </c>
    </row>
    <row r="5" customFormat="false" ht="15" hidden="false" customHeight="false" outlineLevel="0" collapsed="false">
      <c r="A5" s="8" t="s">
        <v>9</v>
      </c>
      <c r="B5" s="4"/>
      <c r="C5" s="5" t="n">
        <f aca="false">+aux!I4</f>
        <v>900</v>
      </c>
      <c r="D5" s="5" t="n">
        <f aca="false">+IF(B5&lt;&gt;"",B5,C5)</f>
        <v>900</v>
      </c>
    </row>
    <row r="6" customFormat="false" ht="15" hidden="false" customHeight="false" outlineLevel="0" collapsed="false">
      <c r="A6" s="8" t="s">
        <v>10</v>
      </c>
      <c r="B6" s="4"/>
      <c r="C6" s="5" t="n">
        <f aca="false">+aux!I5</f>
        <v>700</v>
      </c>
      <c r="D6" s="5" t="n">
        <f aca="false">+IF(B6&lt;&gt;"",B6,C6)</f>
        <v>700</v>
      </c>
    </row>
    <row r="7" customFormat="false" ht="15" hidden="false" customHeight="false" outlineLevel="0" collapsed="false">
      <c r="A7" s="8" t="s">
        <v>11</v>
      </c>
      <c r="B7" s="4"/>
      <c r="C7" s="5" t="n">
        <f aca="false">+aux!I6</f>
        <v>600</v>
      </c>
      <c r="D7" s="5" t="n">
        <f aca="false">+IF(B7&lt;&gt;"",B7,C7)</f>
        <v>600</v>
      </c>
    </row>
    <row r="8" customFormat="false" ht="15" hidden="false" customHeight="false" outlineLevel="0" collapsed="false">
      <c r="A8" s="8" t="s">
        <v>12</v>
      </c>
      <c r="B8" s="4"/>
      <c r="C8" s="5" t="n">
        <f aca="false">+aux!I7</f>
        <v>400</v>
      </c>
      <c r="D8" s="5" t="n">
        <f aca="false">+IF(B8&lt;&gt;"",B8,C8)</f>
        <v>400</v>
      </c>
    </row>
    <row r="9" customFormat="false" ht="15" hidden="false" customHeight="false" outlineLevel="0" collapsed="false">
      <c r="A9" s="8" t="s">
        <v>13</v>
      </c>
      <c r="B9" s="4"/>
      <c r="C9" s="5" t="n">
        <f aca="false">+aux!I8</f>
        <v>400</v>
      </c>
      <c r="D9" s="5" t="n">
        <f aca="false">+IF(B9&lt;&gt;"",B9,C9)</f>
        <v>400</v>
      </c>
    </row>
    <row r="10" customFormat="false" ht="15" hidden="false" customHeight="false" outlineLevel="0" collapsed="false">
      <c r="A10" s="8" t="s">
        <v>14</v>
      </c>
      <c r="B10" s="4"/>
      <c r="C10" s="5" t="n">
        <f aca="false">+aux!I9</f>
        <v>600</v>
      </c>
      <c r="D10" s="5" t="n">
        <f aca="false">+IF(B10&lt;&gt;"",B10,C10)</f>
        <v>600</v>
      </c>
    </row>
    <row r="11" customFormat="false" ht="15" hidden="false" customHeight="false" outlineLevel="0" collapsed="false">
      <c r="A11" s="8" t="s">
        <v>15</v>
      </c>
      <c r="B11" s="4"/>
      <c r="C11" s="5" t="n">
        <f aca="false">+aux!I10</f>
        <v>900</v>
      </c>
      <c r="D11" s="5" t="n">
        <f aca="false">+IF(B11&lt;&gt;"",B11,C11)</f>
        <v>900</v>
      </c>
    </row>
    <row r="12" customFormat="false" ht="15" hidden="false" customHeight="false" outlineLevel="0" collapsed="false">
      <c r="A12" s="8" t="s">
        <v>16</v>
      </c>
      <c r="B12" s="4"/>
      <c r="C12" s="5" t="n">
        <f aca="false">+aux!I11</f>
        <v>700</v>
      </c>
      <c r="D12" s="5" t="n">
        <f aca="false">+IF(B12&lt;&gt;"",B12,C12)</f>
        <v>700</v>
      </c>
    </row>
    <row r="13" customFormat="false" ht="15" hidden="false" customHeight="false" outlineLevel="0" collapsed="false">
      <c r="A13" s="8" t="s">
        <v>17</v>
      </c>
      <c r="B13" s="4"/>
      <c r="C13" s="5" t="n">
        <f aca="false">+aux!I12</f>
        <v>500</v>
      </c>
      <c r="D13" s="5" t="n">
        <f aca="false">+IF(B13&lt;&gt;"",B13,C13)</f>
        <v>500</v>
      </c>
    </row>
    <row r="14" customFormat="false" ht="15" hidden="false" customHeight="false" outlineLevel="0" collapsed="false">
      <c r="A14" s="8" t="s">
        <v>18</v>
      </c>
      <c r="B14" s="4"/>
      <c r="C14" s="5" t="n">
        <f aca="false">+aux!I13</f>
        <v>500</v>
      </c>
      <c r="D14" s="5" t="n">
        <f aca="false">+IF(B14&lt;&gt;"",B14,C14)</f>
        <v>500</v>
      </c>
    </row>
    <row r="15" customFormat="false" ht="15" hidden="false" customHeight="false" outlineLevel="0" collapsed="false">
      <c r="A15" s="8" t="s">
        <v>19</v>
      </c>
      <c r="B15" s="4"/>
      <c r="C15" s="5" t="n">
        <f aca="false">+aux!I14</f>
        <v>700</v>
      </c>
      <c r="D15" s="5" t="n">
        <f aca="false">+IF(B15&lt;&gt;"",B15,C15)</f>
        <v>700</v>
      </c>
    </row>
    <row r="16" customFormat="false" ht="15" hidden="false" customHeight="false" outlineLevel="0" collapsed="false">
      <c r="A16" s="8" t="s">
        <v>20</v>
      </c>
      <c r="B16" s="4"/>
      <c r="C16" s="5" t="n">
        <f aca="false">+aux!I15</f>
        <v>900</v>
      </c>
      <c r="D16" s="5" t="n">
        <f aca="false">+IF(B16&lt;&gt;"",B16,C16)</f>
        <v>900</v>
      </c>
    </row>
    <row r="17" customFormat="false" ht="15" hidden="false" customHeight="false" outlineLevel="0" collapsed="false">
      <c r="A17" s="9" t="s">
        <v>21</v>
      </c>
      <c r="B17" s="10" t="n">
        <f aca="false">SUM(B5:B16)</f>
        <v>0</v>
      </c>
      <c r="C17" s="11" t="n">
        <f aca="false">SUM(C5:C16)</f>
        <v>7800</v>
      </c>
      <c r="D17" s="11" t="n">
        <f aca="false">SUM(D5:D16)</f>
        <v>7800</v>
      </c>
    </row>
    <row r="19" customFormat="false" ht="15" hidden="false" customHeight="false" outlineLevel="0" collapsed="false">
      <c r="A19" s="12" t="s">
        <v>22</v>
      </c>
      <c r="B19" s="12"/>
    </row>
    <row r="20" customFormat="false" ht="15" hidden="false" customHeight="false" outlineLevel="0" collapsed="false">
      <c r="A20" s="8" t="s">
        <v>23</v>
      </c>
      <c r="B20" s="13" t="n">
        <f aca="false">C21/0.95</f>
        <v>3072.63157894737</v>
      </c>
    </row>
    <row r="21" customFormat="false" ht="15" hidden="false" customHeight="false" outlineLevel="0" collapsed="false">
      <c r="A21" s="8" t="s">
        <v>24</v>
      </c>
      <c r="B21" s="13" t="n">
        <f aca="false">B20*0.95</f>
        <v>2919</v>
      </c>
      <c r="C21" s="14" t="n">
        <v>2919</v>
      </c>
      <c r="D21" s="15" t="s">
        <v>25</v>
      </c>
      <c r="E21" s="16"/>
    </row>
    <row r="22" customFormat="false" ht="14.25" hidden="false" customHeight="true" outlineLevel="0" collapsed="false">
      <c r="A22" s="8" t="s">
        <v>26</v>
      </c>
      <c r="B22" s="17" t="n">
        <v>4</v>
      </c>
      <c r="C22" s="14" t="n">
        <f aca="false">B24/1000*5*30*12</f>
        <v>2880</v>
      </c>
      <c r="D22" s="15" t="s">
        <v>27</v>
      </c>
      <c r="E22" s="16"/>
    </row>
    <row r="23" customFormat="false" ht="15" hidden="false" customHeight="false" outlineLevel="0" collapsed="false">
      <c r="A23" s="8" t="s">
        <v>28</v>
      </c>
      <c r="B23" s="17" t="n">
        <v>400</v>
      </c>
    </row>
    <row r="24" customFormat="false" ht="15" hidden="false" customHeight="false" outlineLevel="0" collapsed="false">
      <c r="A24" s="8" t="s">
        <v>29</v>
      </c>
      <c r="B24" s="17" t="n">
        <f aca="false">B22*B23</f>
        <v>1600</v>
      </c>
    </row>
    <row r="25" customFormat="false" ht="15" hidden="false" customHeight="false" outlineLevel="0" collapsed="false">
      <c r="A25" s="18" t="s">
        <v>30</v>
      </c>
      <c r="B25" s="18"/>
      <c r="I25" s="19"/>
    </row>
    <row r="26" customFormat="false" ht="15" hidden="false" customHeight="false" outlineLevel="0" collapsed="false">
      <c r="A26" s="20" t="s">
        <v>31</v>
      </c>
      <c r="B26" s="17" t="n">
        <v>396.9995</v>
      </c>
    </row>
    <row r="27" customFormat="false" ht="15" hidden="false" customHeight="false" outlineLevel="0" collapsed="false">
      <c r="A27" s="20" t="s">
        <v>32</v>
      </c>
      <c r="B27" s="21" t="n">
        <f aca="false">B26/1000</f>
        <v>0.3969995</v>
      </c>
    </row>
    <row r="28" customFormat="false" ht="15" hidden="false" customHeight="true" outlineLevel="0" collapsed="false"/>
    <row r="29" customFormat="false" ht="15" hidden="false" customHeight="false" outlineLevel="0" collapsed="false">
      <c r="A29" s="22" t="s">
        <v>33</v>
      </c>
      <c r="B29" s="22"/>
      <c r="C29" s="22"/>
    </row>
    <row r="30" customFormat="false" ht="15" hidden="false" customHeight="false" outlineLevel="0" collapsed="false">
      <c r="A30" s="23" t="s">
        <v>34</v>
      </c>
      <c r="B30" s="24" t="n">
        <f aca="false">'Eco-fin'!C4+'Eco-fin'!C5</f>
        <v>333.919669867009</v>
      </c>
      <c r="C30" s="25" t="s">
        <v>35</v>
      </c>
    </row>
    <row r="31" customFormat="false" ht="15" hidden="false" customHeight="false" outlineLevel="0" collapsed="false">
      <c r="A31" s="26" t="s">
        <v>36</v>
      </c>
      <c r="B31" s="27" t="n">
        <f aca="false">'Eco-fin'!B28</f>
        <v>2908.68143721854</v>
      </c>
      <c r="C31" s="28" t="s">
        <v>37</v>
      </c>
    </row>
    <row r="32" customFormat="false" ht="15" hidden="false" customHeight="false" outlineLevel="0" collapsed="false">
      <c r="A32" s="26" t="s">
        <v>38</v>
      </c>
      <c r="B32" s="27" t="n">
        <f aca="false">ROUNDUP(Resultados!B16*12,0)</f>
        <v>98</v>
      </c>
      <c r="C32" s="28" t="s">
        <v>39</v>
      </c>
      <c r="D32" s="0" t="n">
        <f aca="false">B32/12</f>
        <v>8.16666666666667</v>
      </c>
      <c r="E32" s="0" t="s">
        <v>40</v>
      </c>
    </row>
    <row r="33" customFormat="false" ht="15" hidden="false" customHeight="false" outlineLevel="0" collapsed="false">
      <c r="A33" s="26" t="s">
        <v>41</v>
      </c>
      <c r="B33" s="27" t="n">
        <f aca="false">('Datos de entrada'!B23*'Datos de entrada'!B22)/1000</f>
        <v>1.6</v>
      </c>
      <c r="C33" s="28" t="s">
        <v>42</v>
      </c>
    </row>
    <row r="34" customFormat="false" ht="15" hidden="false" customHeight="false" outlineLevel="0" collapsed="false">
      <c r="A34" s="26" t="s">
        <v>43</v>
      </c>
      <c r="B34" s="27" t="n">
        <f aca="false">'Datos de entrada'!B21</f>
        <v>2919</v>
      </c>
      <c r="C34" s="28" t="s">
        <v>44</v>
      </c>
    </row>
    <row r="35" customFormat="false" ht="15" hidden="false" customHeight="false" outlineLevel="0" collapsed="false">
      <c r="A35" s="26" t="s">
        <v>45</v>
      </c>
      <c r="B35" s="27" t="n">
        <f aca="false">(1.879*1.045)*'Datos de entrada'!B22</f>
        <v>7.85422</v>
      </c>
      <c r="C35" s="28" t="s">
        <v>46</v>
      </c>
    </row>
    <row r="36" customFormat="false" ht="15" hidden="false" customHeight="false" outlineLevel="0" collapsed="false">
      <c r="A36" s="26" t="s">
        <v>47</v>
      </c>
      <c r="B36" s="29" t="n">
        <f aca="false">'Eco-fin'!B12/'Eco-fin'!B8</f>
        <v>0.0820390331125828</v>
      </c>
      <c r="C36" s="28" t="s">
        <v>48</v>
      </c>
    </row>
    <row r="37" customFormat="false" ht="15" hidden="false" customHeight="false" outlineLevel="0" collapsed="false">
      <c r="A37" s="30" t="s">
        <v>49</v>
      </c>
      <c r="B37" s="31" t="n">
        <f aca="false">Resultados!C19</f>
        <v>1.1588415405</v>
      </c>
      <c r="C37" s="32" t="s">
        <v>50</v>
      </c>
    </row>
    <row r="39" customFormat="false" ht="15" hidden="false" customHeight="false" outlineLevel="0" collapsed="false">
      <c r="A39" s="22" t="s">
        <v>51</v>
      </c>
      <c r="B39" s="22"/>
      <c r="C39" s="22"/>
    </row>
    <row r="40" customFormat="false" ht="23.25" hidden="false" customHeight="true" outlineLevel="0" collapsed="false">
      <c r="A40" s="23" t="s">
        <v>34</v>
      </c>
      <c r="B40" s="33" t="n">
        <v>762</v>
      </c>
      <c r="C40" s="34" t="n">
        <f aca="false">+B40/B30-1</f>
        <v>1.28198596477854</v>
      </c>
    </row>
    <row r="41" customFormat="false" ht="23.25" hidden="false" customHeight="true" outlineLevel="0" collapsed="false">
      <c r="A41" s="26" t="s">
        <v>36</v>
      </c>
      <c r="B41" s="35" t="n">
        <v>7382</v>
      </c>
      <c r="C41" s="34" t="n">
        <f aca="false">+B41/B31-1</f>
        <v>1.53791972731779</v>
      </c>
    </row>
    <row r="42" customFormat="false" ht="23.25" hidden="false" customHeight="true" outlineLevel="0" collapsed="false">
      <c r="A42" s="26" t="s">
        <v>38</v>
      </c>
      <c r="B42" s="33" t="n">
        <v>108</v>
      </c>
      <c r="C42" s="34" t="n">
        <f aca="false">+B42/B32-1</f>
        <v>0.102040816326531</v>
      </c>
    </row>
    <row r="43" customFormat="false" ht="23.25" hidden="false" customHeight="true" outlineLevel="0" collapsed="false">
      <c r="A43" s="26" t="s">
        <v>41</v>
      </c>
      <c r="B43" s="36"/>
      <c r="C43" s="34" t="n">
        <f aca="false">+B43/B33-1</f>
        <v>-1</v>
      </c>
    </row>
    <row r="44" customFormat="false" ht="23.25" hidden="false" customHeight="true" outlineLevel="0" collapsed="false">
      <c r="A44" s="26" t="s">
        <v>43</v>
      </c>
      <c r="B44" s="37"/>
      <c r="C44" s="34" t="n">
        <f aca="false">+B44/B34-1</f>
        <v>-1</v>
      </c>
    </row>
    <row r="45" customFormat="false" ht="23.25" hidden="false" customHeight="true" outlineLevel="0" collapsed="false">
      <c r="A45" s="26" t="s">
        <v>45</v>
      </c>
      <c r="B45" s="36"/>
      <c r="C45" s="34" t="n">
        <f aca="false">+B45/B35-1</f>
        <v>-1</v>
      </c>
    </row>
    <row r="46" customFormat="false" ht="23.25" hidden="false" customHeight="true" outlineLevel="0" collapsed="false">
      <c r="A46" s="26" t="s">
        <v>47</v>
      </c>
      <c r="B46" s="36"/>
      <c r="C46" s="34" t="n">
        <f aca="false">+B46/B36-1</f>
        <v>-1</v>
      </c>
    </row>
    <row r="47" customFormat="false" ht="23.25" hidden="false" customHeight="true" outlineLevel="0" collapsed="false">
      <c r="A47" s="30" t="s">
        <v>49</v>
      </c>
      <c r="B47" s="33" t="n">
        <v>2.82</v>
      </c>
      <c r="C47" s="38" t="n">
        <f aca="false">+B47/B37-1</f>
        <v>1.43346471579131</v>
      </c>
    </row>
    <row r="60" customFormat="false" ht="15" hidden="false" customHeight="false" outlineLevel="0" collapsed="false">
      <c r="A60" s="39" t="s">
        <v>52</v>
      </c>
      <c r="B60" s="39"/>
      <c r="C60" s="39"/>
      <c r="D60" s="39"/>
      <c r="E60" s="39"/>
      <c r="F60" s="39"/>
    </row>
    <row r="78" customFormat="false" ht="15" hidden="false" customHeight="false" outlineLevel="0" collapsed="false">
      <c r="A78" s="39" t="s">
        <v>53</v>
      </c>
      <c r="B78" s="40"/>
      <c r="C78" s="40"/>
      <c r="D78" s="40"/>
      <c r="E78" s="40"/>
      <c r="F78" s="40"/>
      <c r="G78" s="40"/>
    </row>
    <row r="79" customFormat="false" ht="15" hidden="false" customHeight="false" outlineLevel="0" collapsed="false">
      <c r="A79" s="40"/>
      <c r="B79" s="40"/>
      <c r="C79" s="40"/>
      <c r="D79" s="40"/>
      <c r="E79" s="40"/>
      <c r="F79" s="40"/>
      <c r="G79" s="40"/>
    </row>
    <row r="80" customFormat="false" ht="15" hidden="false" customHeight="false" outlineLevel="0" collapsed="false">
      <c r="A80" s="40"/>
      <c r="B80" s="40"/>
      <c r="C80" s="40"/>
      <c r="D80" s="40"/>
      <c r="E80" s="40"/>
      <c r="F80" s="40"/>
      <c r="G80" s="40"/>
    </row>
    <row r="81" customFormat="false" ht="15" hidden="false" customHeight="false" outlineLevel="0" collapsed="false">
      <c r="A81" s="40"/>
      <c r="B81" s="40"/>
      <c r="C81" s="40"/>
      <c r="D81" s="40"/>
      <c r="E81" s="40"/>
      <c r="F81" s="40"/>
      <c r="G81" s="40"/>
    </row>
  </sheetData>
  <mergeCells count="4">
    <mergeCell ref="A19:B19"/>
    <mergeCell ref="A25:B25"/>
    <mergeCell ref="A29:C29"/>
    <mergeCell ref="A39:C39"/>
  </mergeCells>
  <dataValidations count="1">
    <dataValidation allowBlank="true" errorStyle="stop" operator="between" showDropDown="false" showErrorMessage="true" showInputMessage="true" sqref="A2" type="list">
      <formula1>aux!$A$26:$A$32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41" width="18"/>
    <col collapsed="false" customWidth="true" hidden="false" outlineLevel="0" max="2" min="2" style="42" width="14.42"/>
    <col collapsed="false" customWidth="true" hidden="false" outlineLevel="0" max="3" min="3" style="41" width="14.42"/>
    <col collapsed="false" customWidth="true" hidden="false" outlineLevel="0" max="4" min="4" style="41" width="14.57"/>
    <col collapsed="false" customWidth="true" hidden="false" outlineLevel="0" max="5" min="5" style="41" width="14.42"/>
    <col collapsed="false" customWidth="true" hidden="false" outlineLevel="0" max="6" min="6" style="41" width="17.28"/>
    <col collapsed="false" customWidth="true" hidden="false" outlineLevel="0" max="7" min="7" style="41" width="15.13"/>
    <col collapsed="false" customWidth="false" hidden="false" outlineLevel="0" max="16384" min="8" style="41" width="11"/>
  </cols>
  <sheetData>
    <row r="1" customFormat="false" ht="46.5" hidden="false" customHeight="true" outlineLevel="0" collapsed="false">
      <c r="A1" s="43" t="s">
        <v>54</v>
      </c>
      <c r="B1" s="44" t="n">
        <v>54600</v>
      </c>
      <c r="C1" s="45" t="s">
        <v>55</v>
      </c>
      <c r="D1" s="46" t="s">
        <v>56</v>
      </c>
      <c r="J1" s="47" t="s">
        <v>57</v>
      </c>
      <c r="K1" s="47"/>
      <c r="L1" s="47"/>
      <c r="M1" s="47"/>
      <c r="N1" s="47"/>
      <c r="O1" s="47"/>
      <c r="P1" s="47"/>
      <c r="Q1" s="47"/>
      <c r="R1" s="47"/>
    </row>
    <row r="2" customFormat="false" ht="15" hidden="false" customHeight="false" outlineLevel="0" collapsed="false">
      <c r="A2" s="41" t="s">
        <v>58</v>
      </c>
      <c r="B2" s="48" t="n">
        <v>0.105</v>
      </c>
      <c r="J2" s="47"/>
      <c r="K2" s="47"/>
      <c r="L2" s="47"/>
      <c r="M2" s="47"/>
      <c r="N2" s="47"/>
      <c r="O2" s="47"/>
      <c r="P2" s="47"/>
      <c r="Q2" s="47"/>
      <c r="R2" s="47"/>
    </row>
    <row r="3" customFormat="false" ht="15" hidden="false" customHeight="false" outlineLevel="0" collapsed="false">
      <c r="J3" s="47"/>
      <c r="K3" s="47"/>
      <c r="L3" s="47"/>
      <c r="M3" s="47"/>
      <c r="N3" s="47"/>
      <c r="O3" s="47"/>
      <c r="P3" s="47"/>
      <c r="Q3" s="47"/>
      <c r="R3" s="47"/>
    </row>
    <row r="4" s="49" customFormat="true" ht="23.85" hidden="false" customHeight="false" outlineLevel="0" collapsed="false">
      <c r="B4" s="50" t="s">
        <v>59</v>
      </c>
      <c r="C4" s="49" t="s">
        <v>60</v>
      </c>
      <c r="D4" s="49" t="s">
        <v>61</v>
      </c>
      <c r="E4" s="49" t="s">
        <v>62</v>
      </c>
      <c r="F4" s="49" t="s">
        <v>63</v>
      </c>
      <c r="G4" s="49" t="s">
        <v>64</v>
      </c>
      <c r="J4" s="47"/>
      <c r="K4" s="47"/>
      <c r="L4" s="47"/>
      <c r="M4" s="47"/>
      <c r="N4" s="47"/>
      <c r="O4" s="47"/>
      <c r="P4" s="47"/>
      <c r="Q4" s="47"/>
      <c r="R4" s="47"/>
    </row>
    <row r="5" customFormat="false" ht="15" hidden="false" customHeight="false" outlineLevel="0" collapsed="false">
      <c r="A5" s="41" t="s">
        <v>65</v>
      </c>
      <c r="B5" s="51" t="n">
        <v>15577.46</v>
      </c>
      <c r="C5" s="52" t="n">
        <v>44421</v>
      </c>
      <c r="D5" s="14" t="s">
        <v>66</v>
      </c>
      <c r="E5" s="46" t="s">
        <v>67</v>
      </c>
      <c r="F5" s="14" t="s">
        <v>66</v>
      </c>
      <c r="J5" s="47"/>
      <c r="K5" s="47"/>
      <c r="L5" s="47"/>
      <c r="M5" s="47"/>
      <c r="N5" s="47"/>
      <c r="O5" s="47"/>
      <c r="P5" s="47"/>
      <c r="Q5" s="47"/>
      <c r="R5" s="47"/>
    </row>
    <row r="6" customFormat="false" ht="15" hidden="false" customHeight="false" outlineLevel="0" collapsed="false">
      <c r="A6" s="41" t="s">
        <v>68</v>
      </c>
      <c r="B6" s="51" t="n">
        <v>19015.03</v>
      </c>
      <c r="C6" s="52" t="n">
        <v>44629</v>
      </c>
      <c r="D6" s="53" t="n">
        <f aca="false">+B6/$B$5-1</f>
        <v>0.220675899665286</v>
      </c>
      <c r="E6" s="46" t="s">
        <v>69</v>
      </c>
      <c r="F6" s="14" t="s">
        <v>66</v>
      </c>
      <c r="G6" s="54" t="n">
        <f aca="false">+$B$1*(1+D6)</f>
        <v>66648.9041217246</v>
      </c>
      <c r="H6" s="54" t="n">
        <f aca="false">+G6*(1+$B$2)</f>
        <v>73647.0390545057</v>
      </c>
      <c r="J6" s="47"/>
      <c r="K6" s="47"/>
      <c r="L6" s="47"/>
      <c r="M6" s="47"/>
      <c r="N6" s="47"/>
      <c r="O6" s="47"/>
      <c r="P6" s="47"/>
      <c r="Q6" s="47"/>
      <c r="R6" s="47"/>
    </row>
    <row r="7" customFormat="false" ht="15" hidden="false" customHeight="false" outlineLevel="0" collapsed="false">
      <c r="A7" s="41" t="s">
        <v>70</v>
      </c>
      <c r="B7" s="51" t="n">
        <v>23734.69</v>
      </c>
      <c r="C7" s="52" t="n">
        <v>44777</v>
      </c>
      <c r="D7" s="53" t="n">
        <f aca="false">+B7/$B$5-1</f>
        <v>0.523655974722452</v>
      </c>
      <c r="E7" s="46" t="s">
        <v>71</v>
      </c>
      <c r="F7" s="41" t="s">
        <v>72</v>
      </c>
      <c r="G7" s="54" t="n">
        <f aca="false">+$B$1*(1+D7)</f>
        <v>83191.6162198459</v>
      </c>
      <c r="H7" s="54" t="n">
        <f aca="false">+G7*(1+$B$2)</f>
        <v>91926.7359229297</v>
      </c>
      <c r="J7" s="47"/>
      <c r="K7" s="47"/>
      <c r="L7" s="47"/>
      <c r="M7" s="47"/>
      <c r="N7" s="47"/>
      <c r="O7" s="47"/>
      <c r="P7" s="47"/>
      <c r="Q7" s="47"/>
      <c r="R7" s="47"/>
    </row>
    <row r="8" s="55" customFormat="true" ht="15" hidden="false" customHeight="false" outlineLevel="0" collapsed="false">
      <c r="A8" s="55" t="s">
        <v>73</v>
      </c>
      <c r="B8" s="56" t="n">
        <v>28395.87</v>
      </c>
      <c r="C8" s="57" t="n">
        <v>44966</v>
      </c>
      <c r="D8" s="58" t="n">
        <f aca="false">+B8/$B$5-1</f>
        <v>0.822881907576717</v>
      </c>
      <c r="E8" s="59" t="s">
        <v>71</v>
      </c>
      <c r="F8" s="55" t="s">
        <v>74</v>
      </c>
      <c r="G8" s="60" t="n">
        <f aca="false">+$B$1*(1+D8)</f>
        <v>99529.3521536887</v>
      </c>
      <c r="H8" s="60" t="n">
        <f aca="false">+G8*(1+$B$2)</f>
        <v>109979.934129826</v>
      </c>
      <c r="J8" s="47"/>
      <c r="K8" s="47"/>
      <c r="L8" s="47"/>
      <c r="M8" s="47"/>
      <c r="N8" s="47"/>
      <c r="O8" s="47"/>
      <c r="P8" s="47"/>
      <c r="Q8" s="47"/>
      <c r="R8" s="47"/>
    </row>
    <row r="9" customFormat="false" ht="15" hidden="false" customHeight="false" outlineLevel="0" collapsed="false">
      <c r="A9" s="41" t="s">
        <v>73</v>
      </c>
      <c r="B9" s="51" t="n">
        <v>37466.1</v>
      </c>
      <c r="C9" s="52" t="n">
        <v>44966</v>
      </c>
      <c r="D9" s="53" t="n">
        <f aca="false">+B9/$B$5-1</f>
        <v>1.40514820773091</v>
      </c>
      <c r="E9" s="46" t="s">
        <v>75</v>
      </c>
      <c r="F9" s="41" t="s">
        <v>72</v>
      </c>
      <c r="G9" s="61" t="n">
        <f aca="false">+$B$1*(1+D9)</f>
        <v>131321.092142108</v>
      </c>
      <c r="H9" s="61" t="n">
        <f aca="false">+G9*(1+$B$2)</f>
        <v>145109.806817029</v>
      </c>
    </row>
    <row r="10" customFormat="false" ht="15" hidden="false" customHeight="false" outlineLevel="0" collapsed="false">
      <c r="A10" s="41" t="s">
        <v>76</v>
      </c>
      <c r="B10" s="51" t="n">
        <v>42495.16</v>
      </c>
      <c r="C10" s="52" t="n">
        <v>45168</v>
      </c>
      <c r="D10" s="53" t="n">
        <f aca="false">+B10/$B$5-1</f>
        <v>1.7279903142104</v>
      </c>
      <c r="E10" s="46" t="s">
        <v>75</v>
      </c>
      <c r="F10" s="41" t="s">
        <v>74</v>
      </c>
      <c r="G10" s="54" t="n">
        <f aca="false">+$B$1*(1+D10)</f>
        <v>148948.271155888</v>
      </c>
      <c r="H10" s="54" t="n">
        <f aca="false">+G10*(1+$B$2)</f>
        <v>164587.839627256</v>
      </c>
    </row>
    <row r="11" customFormat="false" ht="15" hidden="false" customHeight="false" outlineLevel="0" collapsed="false">
      <c r="A11" s="41" t="s">
        <v>76</v>
      </c>
      <c r="B11" s="51" t="n">
        <v>65627.83</v>
      </c>
      <c r="C11" s="52" t="n">
        <v>45168</v>
      </c>
      <c r="D11" s="53" t="n">
        <f aca="false">+B11/$B$5-1</f>
        <v>3.21299942352604</v>
      </c>
      <c r="E11" s="46" t="s">
        <v>77</v>
      </c>
      <c r="F11" s="41" t="s">
        <v>72</v>
      </c>
      <c r="G11" s="61" t="n">
        <f aca="false">+$B$1*(1+D11)</f>
        <v>230029.768524522</v>
      </c>
      <c r="H11" s="61" t="n">
        <f aca="false">+G11*(1+$B$2)</f>
        <v>254182.894219597</v>
      </c>
    </row>
    <row r="12" customFormat="false" ht="15" hidden="false" customHeight="false" outlineLevel="0" collapsed="false">
      <c r="A12" s="41" t="s">
        <v>78</v>
      </c>
      <c r="B12" s="51" t="n">
        <v>75343.75</v>
      </c>
      <c r="C12" s="52" t="n">
        <v>45315</v>
      </c>
      <c r="D12" s="53" t="n">
        <f aca="false">+B12/$B$5-1</f>
        <v>3.83671599862879</v>
      </c>
      <c r="E12" s="46" t="s">
        <v>77</v>
      </c>
      <c r="F12" s="41" t="s">
        <v>74</v>
      </c>
      <c r="G12" s="54" t="n">
        <f aca="false">+$B$1*(1+D12)</f>
        <v>264084.693525132</v>
      </c>
      <c r="H12" s="54" t="n">
        <f aca="false">+G12*(1+$B$2)</f>
        <v>291813.586345271</v>
      </c>
    </row>
    <row r="13" customFormat="false" ht="15" hidden="false" customHeight="false" outlineLevel="0" collapsed="false">
      <c r="A13" s="41" t="s">
        <v>78</v>
      </c>
      <c r="B13" s="51" t="n">
        <v>179474</v>
      </c>
      <c r="C13" s="52" t="n">
        <v>45315</v>
      </c>
      <c r="D13" s="53" t="n">
        <f aca="false">+B13/$B$5-1</f>
        <v>10.5213905219465</v>
      </c>
      <c r="E13" s="46" t="s">
        <v>79</v>
      </c>
      <c r="F13" s="41" t="s">
        <v>72</v>
      </c>
      <c r="G13" s="61" t="n">
        <f aca="false">+$B$1*(1+D13)</f>
        <v>629067.922498277</v>
      </c>
      <c r="H13" s="61" t="n">
        <f aca="false">+G13*(1+$B$2)</f>
        <v>695120.054360596</v>
      </c>
      <c r="I13" s="41" t="s">
        <v>80</v>
      </c>
    </row>
    <row r="14" customFormat="false" ht="15" hidden="false" customHeight="false" outlineLevel="0" collapsed="false">
      <c r="A14" s="41" t="s">
        <v>81</v>
      </c>
      <c r="B14" s="51" t="n">
        <v>171400</v>
      </c>
      <c r="C14" s="52" t="n">
        <v>45518</v>
      </c>
      <c r="D14" s="53" t="n">
        <f aca="false">+B14/$B$5-1</f>
        <v>10.0030775235501</v>
      </c>
      <c r="E14" s="46" t="s">
        <v>79</v>
      </c>
      <c r="F14" s="41" t="s">
        <v>74</v>
      </c>
      <c r="G14" s="54" t="n">
        <f aca="false">+$B$1*(1+D14)</f>
        <v>600768.032785833</v>
      </c>
      <c r="H14" s="54" t="n">
        <f aca="false">+G14*(1+$B$2)</f>
        <v>663848.676228345</v>
      </c>
    </row>
    <row r="15" customFormat="false" ht="15" hidden="false" customHeight="false" outlineLevel="0" collapsed="false">
      <c r="A15" s="41" t="s">
        <v>81</v>
      </c>
      <c r="B15" s="51" t="n">
        <v>244563</v>
      </c>
      <c r="C15" s="52" t="n">
        <v>45518</v>
      </c>
      <c r="D15" s="53" t="n">
        <f aca="false">+B15/$B$5-1</f>
        <v>14.6997995822169</v>
      </c>
      <c r="E15" s="46" t="s">
        <v>82</v>
      </c>
      <c r="G15" s="54" t="n">
        <f aca="false">+$B$1*(1+D15)</f>
        <v>857209.057189041</v>
      </c>
      <c r="H15" s="54" t="n">
        <f aca="false">+G15*(1+$B$2)</f>
        <v>947216.00819389</v>
      </c>
    </row>
    <row r="16" customFormat="false" ht="15" hidden="false" customHeight="false" outlineLevel="0" collapsed="false">
      <c r="B16" s="51"/>
      <c r="G16" s="54"/>
    </row>
    <row r="17" customFormat="false" ht="15" hidden="false" customHeight="false" outlineLevel="0" collapsed="false">
      <c r="B17" s="51"/>
      <c r="G17" s="54"/>
    </row>
    <row r="18" customFormat="false" ht="15" hidden="false" customHeight="false" outlineLevel="0" collapsed="false">
      <c r="B18" s="51"/>
      <c r="G18" s="54"/>
    </row>
    <row r="19" customFormat="false" ht="15" hidden="false" customHeight="false" outlineLevel="0" collapsed="false">
      <c r="B19" s="51"/>
      <c r="G19" s="54"/>
    </row>
    <row r="20" customFormat="false" ht="15" hidden="false" customHeight="false" outlineLevel="0" collapsed="false">
      <c r="B20" s="51"/>
      <c r="G20" s="54"/>
    </row>
    <row r="21" customFormat="false" ht="15" hidden="false" customHeight="false" outlineLevel="0" collapsed="false">
      <c r="B21" s="62"/>
      <c r="G21" s="54"/>
    </row>
    <row r="22" customFormat="false" ht="15" hidden="false" customHeight="false" outlineLevel="0" collapsed="false">
      <c r="B22" s="62"/>
    </row>
  </sheetData>
  <mergeCells count="1">
    <mergeCell ref="J1:R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U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7" activeCellId="0" sqref="C27"/>
    </sheetView>
  </sheetViews>
  <sheetFormatPr defaultColWidth="9.00390625" defaultRowHeight="15" customHeight="false" zeroHeight="false" outlineLevelRow="0" outlineLevelCol="0"/>
  <cols>
    <col collapsed="false" customWidth="true" hidden="false" outlineLevel="0" max="1" min="1" style="0" width="36.13"/>
    <col collapsed="false" customWidth="true" hidden="false" outlineLevel="0" max="2" min="2" style="0" width="14.29"/>
    <col collapsed="false" customWidth="true" hidden="false" outlineLevel="0" max="21" min="3" style="0" width="12"/>
  </cols>
  <sheetData>
    <row r="2" customFormat="false" ht="15" hidden="false" customHeight="false" outlineLevel="0" collapsed="false">
      <c r="A2" s="63" t="s">
        <v>83</v>
      </c>
      <c r="B2" s="63"/>
    </row>
    <row r="3" customFormat="false" ht="15" hidden="false" customHeight="false" outlineLevel="0" collapsed="false">
      <c r="A3" s="64" t="s">
        <v>84</v>
      </c>
      <c r="B3" s="65" t="n">
        <f aca="false">+Parametros!B3</f>
        <v>0.8</v>
      </c>
    </row>
    <row r="4" customFormat="false" ht="15" hidden="false" customHeight="false" outlineLevel="0" collapsed="false">
      <c r="A4" s="64" t="s">
        <v>85</v>
      </c>
      <c r="B4" s="66" t="n">
        <f aca="false">+Parametros!B4</f>
        <v>0.004</v>
      </c>
    </row>
    <row r="5" customFormat="false" ht="15" hidden="false" customHeight="false" outlineLevel="0" collapsed="false">
      <c r="A5" s="64" t="s">
        <v>32</v>
      </c>
      <c r="B5" s="21" t="n">
        <f aca="false">'Datos de entrada'!B27</f>
        <v>0.3969995</v>
      </c>
    </row>
    <row r="6" customFormat="false" ht="15" hidden="false" customHeight="false" outlineLevel="0" collapsed="false">
      <c r="A6" s="64" t="s">
        <v>86</v>
      </c>
      <c r="B6" s="66" t="n">
        <f aca="false">+Parametros!B5</f>
        <v>0.8</v>
      </c>
    </row>
    <row r="7" customFormat="false" ht="15" hidden="false" customHeight="false" outlineLevel="0" collapsed="false">
      <c r="A7" s="64" t="s">
        <v>87</v>
      </c>
      <c r="B7" s="66" t="n">
        <f aca="false">1-B6</f>
        <v>0.2</v>
      </c>
    </row>
    <row r="8" customFormat="false" ht="15" hidden="false" customHeight="false" outlineLevel="0" collapsed="false">
      <c r="B8" s="67"/>
    </row>
    <row r="9" customFormat="false" ht="15" hidden="false" customHeight="false" outlineLevel="0" collapsed="false">
      <c r="A9" s="17" t="s">
        <v>88</v>
      </c>
      <c r="B9" s="17" t="str">
        <f aca="false">+VLOOKUP('Datos de entrada'!A2,aux!$A$25:$B$32,2,0)</f>
        <v>T1-R</v>
      </c>
    </row>
    <row r="10" customFormat="false" ht="15" hidden="false" customHeight="false" outlineLevel="0" collapsed="false">
      <c r="A10" s="17" t="s">
        <v>89</v>
      </c>
      <c r="B10" s="68" t="n">
        <f aca="false">+aux!I20</f>
        <v>10</v>
      </c>
    </row>
    <row r="11" customFormat="false" ht="15" hidden="false" customHeight="false" outlineLevel="0" collapsed="false">
      <c r="A11" s="69"/>
    </row>
    <row r="13" customFormat="false" ht="15" hidden="false" customHeight="false" outlineLevel="0" collapsed="false">
      <c r="B13" s="70" t="n">
        <f aca="false">+'Eco-fin'!C3</f>
        <v>2027</v>
      </c>
      <c r="C13" s="70" t="n">
        <f aca="false">+'Eco-fin'!D3</f>
        <v>2028</v>
      </c>
      <c r="D13" s="70" t="n">
        <f aca="false">+'Eco-fin'!E3</f>
        <v>2029</v>
      </c>
      <c r="E13" s="70" t="n">
        <f aca="false">+'Eco-fin'!F3</f>
        <v>2030</v>
      </c>
      <c r="F13" s="70" t="n">
        <f aca="false">+'Eco-fin'!G3</f>
        <v>2031</v>
      </c>
      <c r="G13" s="70" t="n">
        <f aca="false">+'Eco-fin'!H3</f>
        <v>2032</v>
      </c>
      <c r="H13" s="70" t="n">
        <f aca="false">+'Eco-fin'!I3</f>
        <v>2033</v>
      </c>
      <c r="I13" s="70" t="n">
        <f aca="false">+'Eco-fin'!J3</f>
        <v>2034</v>
      </c>
      <c r="J13" s="70" t="n">
        <f aca="false">+'Eco-fin'!K3</f>
        <v>2035</v>
      </c>
      <c r="K13" s="70" t="n">
        <f aca="false">+'Eco-fin'!L3</f>
        <v>2036</v>
      </c>
      <c r="L13" s="70" t="n">
        <f aca="false">+'Eco-fin'!M3</f>
        <v>2037</v>
      </c>
      <c r="M13" s="70" t="n">
        <f aca="false">+'Eco-fin'!N3</f>
        <v>2038</v>
      </c>
      <c r="N13" s="70" t="n">
        <f aca="false">+'Eco-fin'!O3</f>
        <v>2039</v>
      </c>
      <c r="O13" s="70" t="n">
        <f aca="false">+'Eco-fin'!P3</f>
        <v>2040</v>
      </c>
      <c r="P13" s="70" t="n">
        <f aca="false">+'Eco-fin'!Q3</f>
        <v>2041</v>
      </c>
      <c r="Q13" s="70" t="n">
        <f aca="false">+'Eco-fin'!R3</f>
        <v>2042</v>
      </c>
      <c r="R13" s="70" t="n">
        <f aca="false">+'Eco-fin'!S3</f>
        <v>2043</v>
      </c>
      <c r="S13" s="70" t="n">
        <f aca="false">+'Eco-fin'!T3</f>
        <v>2044</v>
      </c>
      <c r="T13" s="70" t="n">
        <f aca="false">+'Eco-fin'!U3</f>
        <v>2045</v>
      </c>
      <c r="U13" s="70" t="n">
        <f aca="false">+'Eco-fin'!V3</f>
        <v>2046</v>
      </c>
    </row>
    <row r="14" customFormat="false" ht="15" hidden="false" customHeight="false" outlineLevel="0" collapsed="false">
      <c r="A14" s="71" t="s">
        <v>90</v>
      </c>
      <c r="B14" s="5" t="n">
        <f aca="false">'Datos de entrada'!B21</f>
        <v>2919</v>
      </c>
      <c r="C14" s="5" t="n">
        <f aca="false">B14*(1-$B$4)</f>
        <v>2907.324</v>
      </c>
      <c r="D14" s="5" t="n">
        <f aca="false">C14*(1-$B$4)</f>
        <v>2895.694704</v>
      </c>
      <c r="E14" s="5" t="n">
        <f aca="false">D14*(1-$B$4)</f>
        <v>2884.111925184</v>
      </c>
      <c r="F14" s="5" t="n">
        <f aca="false">E14*(1-$B$4)</f>
        <v>2872.57547748326</v>
      </c>
      <c r="G14" s="5" t="n">
        <f aca="false">F14*(1-$B$4)</f>
        <v>2861.08517557333</v>
      </c>
      <c r="H14" s="5" t="n">
        <f aca="false">G14*(1-$B$4)</f>
        <v>2849.64083487104</v>
      </c>
      <c r="I14" s="5" t="n">
        <f aca="false">H14*(1-$B$4)</f>
        <v>2838.24227153155</v>
      </c>
      <c r="J14" s="5" t="n">
        <f aca="false">I14*(1-$B$4)</f>
        <v>2826.88930244543</v>
      </c>
      <c r="K14" s="5" t="n">
        <f aca="false">J14*(1-$B$4)</f>
        <v>2815.58174523565</v>
      </c>
      <c r="L14" s="5" t="n">
        <f aca="false">K14*(1-$B$4)</f>
        <v>2804.3194182547</v>
      </c>
      <c r="M14" s="5" t="n">
        <f aca="false">L14*(1-$B$4)</f>
        <v>2793.10214058168</v>
      </c>
      <c r="N14" s="5" t="n">
        <f aca="false">M14*(1-$B$4)</f>
        <v>2781.92973201936</v>
      </c>
      <c r="O14" s="5" t="n">
        <f aca="false">N14*(1-$B$4)</f>
        <v>2770.80201309128</v>
      </c>
      <c r="P14" s="5" t="n">
        <f aca="false">O14*(1-$B$4)</f>
        <v>2759.71880503891</v>
      </c>
      <c r="Q14" s="5" t="n">
        <f aca="false">P14*(1-$B$4)</f>
        <v>2748.67992981876</v>
      </c>
      <c r="R14" s="5" t="n">
        <f aca="false">Q14*(1-$B$4)</f>
        <v>2737.68521009948</v>
      </c>
      <c r="S14" s="5" t="n">
        <f aca="false">R14*(1-$B$4)</f>
        <v>2726.73446925909</v>
      </c>
      <c r="T14" s="5" t="n">
        <f aca="false">S14*(1-$B$4)</f>
        <v>2715.82753138205</v>
      </c>
      <c r="U14" s="5" t="n">
        <f aca="false">T14*(1-$B$4)</f>
        <v>2704.96422125652</v>
      </c>
    </row>
    <row r="15" customFormat="false" ht="15" hidden="false" customHeight="false" outlineLevel="0" collapsed="false"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</row>
    <row r="16" customFormat="false" ht="15" hidden="false" customHeight="false" outlineLevel="0" collapsed="false">
      <c r="B16" s="70" t="n">
        <v>2025</v>
      </c>
      <c r="C16" s="70" t="n">
        <v>2026</v>
      </c>
      <c r="D16" s="70" t="n">
        <v>2027</v>
      </c>
      <c r="E16" s="70" t="n">
        <v>2028</v>
      </c>
      <c r="F16" s="70" t="n">
        <v>2029</v>
      </c>
      <c r="G16" s="70" t="n">
        <v>2030</v>
      </c>
      <c r="H16" s="70" t="n">
        <v>2031</v>
      </c>
      <c r="I16" s="70" t="n">
        <v>2032</v>
      </c>
      <c r="J16" s="70" t="n">
        <v>2033</v>
      </c>
      <c r="K16" s="70" t="n">
        <v>2034</v>
      </c>
      <c r="L16" s="70" t="n">
        <v>2035</v>
      </c>
      <c r="M16" s="70" t="n">
        <v>2036</v>
      </c>
      <c r="N16" s="70" t="n">
        <v>2037</v>
      </c>
      <c r="O16" s="70" t="n">
        <v>2038</v>
      </c>
      <c r="P16" s="70" t="n">
        <v>2039</v>
      </c>
      <c r="Q16" s="70" t="n">
        <v>2040</v>
      </c>
      <c r="R16" s="70" t="n">
        <v>2041</v>
      </c>
      <c r="S16" s="70" t="n">
        <v>2042</v>
      </c>
      <c r="T16" s="70" t="n">
        <v>2043</v>
      </c>
      <c r="U16" s="70" t="n">
        <v>2044</v>
      </c>
    </row>
    <row r="17" customFormat="false" ht="15" hidden="false" customHeight="false" outlineLevel="0" collapsed="false">
      <c r="A17" s="71" t="s">
        <v>91</v>
      </c>
      <c r="B17" s="5" t="n">
        <f aca="false">+'Datos de entrada'!D17</f>
        <v>7800</v>
      </c>
      <c r="C17" s="5" t="n">
        <f aca="false">+B17</f>
        <v>7800</v>
      </c>
      <c r="D17" s="5" t="n">
        <f aca="false">+C17</f>
        <v>7800</v>
      </c>
      <c r="E17" s="5" t="n">
        <f aca="false">+D17</f>
        <v>7800</v>
      </c>
      <c r="F17" s="5" t="n">
        <f aca="false">+E17</f>
        <v>7800</v>
      </c>
      <c r="G17" s="5" t="n">
        <f aca="false">+F17</f>
        <v>7800</v>
      </c>
      <c r="H17" s="5" t="n">
        <f aca="false">+G17</f>
        <v>7800</v>
      </c>
      <c r="I17" s="5" t="n">
        <f aca="false">+H17</f>
        <v>7800</v>
      </c>
      <c r="J17" s="5" t="n">
        <f aca="false">+I17</f>
        <v>7800</v>
      </c>
      <c r="K17" s="5" t="n">
        <f aca="false">+J17</f>
        <v>7800</v>
      </c>
      <c r="L17" s="5" t="n">
        <f aca="false">+K17</f>
        <v>7800</v>
      </c>
      <c r="M17" s="5" t="n">
        <f aca="false">+L17</f>
        <v>7800</v>
      </c>
      <c r="N17" s="5" t="n">
        <f aca="false">+M17</f>
        <v>7800</v>
      </c>
      <c r="O17" s="5" t="n">
        <f aca="false">+N17</f>
        <v>7800</v>
      </c>
      <c r="P17" s="5" t="n">
        <f aca="false">+O17</f>
        <v>7800</v>
      </c>
      <c r="Q17" s="5" t="n">
        <f aca="false">+P17</f>
        <v>7800</v>
      </c>
      <c r="R17" s="5" t="n">
        <f aca="false">+Q17</f>
        <v>7800</v>
      </c>
      <c r="S17" s="5" t="n">
        <f aca="false">+R17</f>
        <v>7800</v>
      </c>
      <c r="T17" s="5" t="n">
        <f aca="false">+S17</f>
        <v>7800</v>
      </c>
      <c r="U17" s="5" t="n">
        <f aca="false">+T17</f>
        <v>7800</v>
      </c>
    </row>
    <row r="18" customFormat="false" ht="15" hidden="false" customHeight="false" outlineLevel="0" collapsed="false">
      <c r="A18" s="71" t="s">
        <v>92</v>
      </c>
      <c r="B18" s="5" t="n">
        <f aca="false">+IF(B17&gt;B14*$B$6,B14*$B$6,B17)</f>
        <v>2335.2</v>
      </c>
      <c r="C18" s="5" t="n">
        <f aca="false">+IF(C17&gt;C14*$B$6,C14*$B$6,C17)</f>
        <v>2325.8592</v>
      </c>
      <c r="D18" s="5" t="n">
        <f aca="false">+IF(D17&gt;D14*$B$6,D14*$B$6,D17)</f>
        <v>2316.5557632</v>
      </c>
      <c r="E18" s="5" t="n">
        <f aca="false">+IF(E17&gt;E14*$B$6,E14*$B$6,E17)</f>
        <v>2307.2895401472</v>
      </c>
      <c r="F18" s="5" t="n">
        <f aca="false">+IF(F17&gt;F14*$B$6,F14*$B$6,F17)</f>
        <v>2298.06038198661</v>
      </c>
      <c r="G18" s="5" t="n">
        <f aca="false">+IF(G17&gt;G14*$B$6,G14*$B$6,G17)</f>
        <v>2288.86814045867</v>
      </c>
      <c r="H18" s="5" t="n">
        <f aca="false">+IF(H17&gt;H14*$B$6,H14*$B$6,H17)</f>
        <v>2279.71266789683</v>
      </c>
      <c r="I18" s="5" t="n">
        <f aca="false">+IF(I17&gt;I14*$B$6,I14*$B$6,I17)</f>
        <v>2270.59381722524</v>
      </c>
      <c r="J18" s="5" t="n">
        <f aca="false">+IF(J17&gt;J14*$B$6,J14*$B$6,J17)</f>
        <v>2261.51144195634</v>
      </c>
      <c r="K18" s="5" t="n">
        <f aca="false">+IF(K17&gt;K14*$B$6,K14*$B$6,K17)</f>
        <v>2252.46539618852</v>
      </c>
      <c r="L18" s="5" t="n">
        <f aca="false">+IF(L17&gt;L14*$B$6,L14*$B$6,L17)</f>
        <v>2243.45553460376</v>
      </c>
      <c r="M18" s="5" t="n">
        <f aca="false">+IF(M17&gt;M14*$B$6,M14*$B$6,M17)</f>
        <v>2234.48171246535</v>
      </c>
      <c r="N18" s="5" t="n">
        <f aca="false">+IF(N17&gt;N14*$B$6,N14*$B$6,N17)</f>
        <v>2225.54378561549</v>
      </c>
      <c r="O18" s="5" t="n">
        <f aca="false">+IF(O17&gt;O14*$B$6,O14*$B$6,O17)</f>
        <v>2216.64161047302</v>
      </c>
      <c r="P18" s="5" t="n">
        <f aca="false">+IF(P17&gt;P14*$B$6,P14*$B$6,P17)</f>
        <v>2207.77504403113</v>
      </c>
      <c r="Q18" s="5" t="n">
        <f aca="false">+IF(Q17&gt;Q14*$B$6,Q14*$B$6,Q17)</f>
        <v>2198.94394385501</v>
      </c>
      <c r="R18" s="5" t="n">
        <f aca="false">+IF(R17&gt;R14*$B$6,R14*$B$6,R17)</f>
        <v>2190.14816807959</v>
      </c>
      <c r="S18" s="5" t="n">
        <f aca="false">+IF(S17&gt;S14*$B$6,S14*$B$6,S17)</f>
        <v>2181.38757540727</v>
      </c>
      <c r="T18" s="5" t="n">
        <f aca="false">+IF(T17&gt;T14*$B$6,T14*$B$6,T17)</f>
        <v>2172.66202510564</v>
      </c>
      <c r="U18" s="5" t="n">
        <f aca="false">+IF(U17&gt;U14*$B$6,U14*$B$6,U17)</f>
        <v>2163.97137700522</v>
      </c>
    </row>
    <row r="19" customFormat="false" ht="15" hidden="false" customHeight="false" outlineLevel="0" collapsed="false">
      <c r="A19" s="71" t="s">
        <v>93</v>
      </c>
      <c r="B19" s="5" t="n">
        <f aca="false">+B14-B18</f>
        <v>583.8</v>
      </c>
      <c r="C19" s="5" t="n">
        <f aca="false">+C14-C18</f>
        <v>581.4648</v>
      </c>
      <c r="D19" s="5" t="n">
        <f aca="false">+D14-D18</f>
        <v>579.1389408</v>
      </c>
      <c r="E19" s="5" t="n">
        <f aca="false">+E14-E18</f>
        <v>576.8223850368</v>
      </c>
      <c r="F19" s="5" t="n">
        <f aca="false">+F14-F18</f>
        <v>574.515095496653</v>
      </c>
      <c r="G19" s="5" t="n">
        <f aca="false">+G14-G18</f>
        <v>572.217035114666</v>
      </c>
      <c r="H19" s="5" t="n">
        <f aca="false">+H14-H18</f>
        <v>569.928166974208</v>
      </c>
      <c r="I19" s="5" t="n">
        <f aca="false">+I14-I18</f>
        <v>567.648454306311</v>
      </c>
      <c r="J19" s="5" t="n">
        <f aca="false">+J14-J18</f>
        <v>565.377860489085</v>
      </c>
      <c r="K19" s="5" t="n">
        <f aca="false">+K14-K18</f>
        <v>563.116349047129</v>
      </c>
      <c r="L19" s="5" t="n">
        <f aca="false">+L14-L18</f>
        <v>560.86388365094</v>
      </c>
      <c r="M19" s="5" t="n">
        <f aca="false">+M14-M18</f>
        <v>558.620428116337</v>
      </c>
      <c r="N19" s="5" t="n">
        <f aca="false">+N14-N18</f>
        <v>556.385946403872</v>
      </c>
      <c r="O19" s="5" t="n">
        <f aca="false">+O14-O18</f>
        <v>554.160402618256</v>
      </c>
      <c r="P19" s="5" t="n">
        <f aca="false">+P14-P18</f>
        <v>551.943761007783</v>
      </c>
      <c r="Q19" s="5" t="n">
        <f aca="false">+Q14-Q18</f>
        <v>549.735985963752</v>
      </c>
      <c r="R19" s="5" t="n">
        <f aca="false">+R14-R18</f>
        <v>547.537042019897</v>
      </c>
      <c r="S19" s="5" t="n">
        <f aca="false">+S14-S18</f>
        <v>545.346893851817</v>
      </c>
      <c r="T19" s="5" t="n">
        <f aca="false">+T14-T18</f>
        <v>543.16550627641</v>
      </c>
      <c r="U19" s="5" t="n">
        <f aca="false">+U14-U18</f>
        <v>540.992844251304</v>
      </c>
    </row>
    <row r="21" customFormat="false" ht="15" hidden="false" customHeight="false" outlineLevel="0" collapsed="false">
      <c r="B21" s="73" t="n">
        <v>2025</v>
      </c>
      <c r="C21" s="73" t="n">
        <v>2026</v>
      </c>
      <c r="D21" s="73" t="n">
        <v>2027</v>
      </c>
      <c r="E21" s="73" t="n">
        <v>2028</v>
      </c>
      <c r="F21" s="73" t="n">
        <v>2029</v>
      </c>
      <c r="G21" s="73" t="n">
        <v>2030</v>
      </c>
      <c r="H21" s="73" t="n">
        <v>2031</v>
      </c>
      <c r="I21" s="73" t="n">
        <v>2032</v>
      </c>
      <c r="J21" s="73" t="n">
        <v>2033</v>
      </c>
      <c r="K21" s="73" t="n">
        <v>2034</v>
      </c>
      <c r="L21" s="73" t="n">
        <v>2035</v>
      </c>
      <c r="M21" s="73" t="n">
        <v>2036</v>
      </c>
      <c r="N21" s="73" t="n">
        <v>2037</v>
      </c>
      <c r="O21" s="73" t="n">
        <v>2038</v>
      </c>
      <c r="P21" s="73" t="n">
        <v>2039</v>
      </c>
      <c r="Q21" s="73" t="n">
        <v>2040</v>
      </c>
      <c r="R21" s="73" t="n">
        <v>2041</v>
      </c>
      <c r="S21" s="73" t="n">
        <v>2042</v>
      </c>
      <c r="T21" s="73" t="n">
        <v>2043</v>
      </c>
      <c r="U21" s="73" t="n">
        <v>2044</v>
      </c>
    </row>
    <row r="22" customFormat="false" ht="15" hidden="false" customHeight="false" outlineLevel="0" collapsed="false">
      <c r="A22" s="64" t="s">
        <v>94</v>
      </c>
      <c r="B22" s="74" t="n">
        <f aca="false">B14*$B$5/1000</f>
        <v>1.1588415405</v>
      </c>
      <c r="C22" s="74" t="n">
        <f aca="false">C14*$B$5/1000</f>
        <v>1.154206174338</v>
      </c>
      <c r="D22" s="74" t="n">
        <f aca="false">D14*$B$5/1000</f>
        <v>1.14958934964065</v>
      </c>
      <c r="E22" s="74" t="n">
        <f aca="false">E14*$B$5/1000</f>
        <v>1.14499099224209</v>
      </c>
      <c r="F22" s="74" t="n">
        <f aca="false">F14*$B$5/1000</f>
        <v>1.14041102827312</v>
      </c>
      <c r="G22" s="74" t="n">
        <f aca="false">G14*$B$5/1000</f>
        <v>1.13584938416002</v>
      </c>
      <c r="H22" s="74" t="n">
        <f aca="false">H14*$B$5/1000</f>
        <v>1.13130598662338</v>
      </c>
      <c r="I22" s="74" t="n">
        <f aca="false">I14*$B$5/1000</f>
        <v>1.12678076267689</v>
      </c>
      <c r="J22" s="74" t="n">
        <f aca="false">J14*$B$5/1000</f>
        <v>1.12227363962618</v>
      </c>
      <c r="K22" s="74" t="n">
        <f aca="false">K14*$B$5/1000</f>
        <v>1.11778454506768</v>
      </c>
      <c r="L22" s="74" t="n">
        <f aca="false">L14*$B$5/1000</f>
        <v>1.11331340688741</v>
      </c>
      <c r="M22" s="74" t="n">
        <f aca="false">M14*$B$5/1000</f>
        <v>1.10886015325986</v>
      </c>
      <c r="N22" s="74" t="n">
        <f aca="false">N14*$B$5/1000</f>
        <v>1.10442471264682</v>
      </c>
      <c r="O22" s="74" t="n">
        <f aca="false">O14*$B$5/1000</f>
        <v>1.10000701379623</v>
      </c>
      <c r="P22" s="74" t="n">
        <f aca="false">P14*$B$5/1000</f>
        <v>1.09560698574105</v>
      </c>
      <c r="Q22" s="74" t="n">
        <f aca="false">Q14*$B$5/1000</f>
        <v>1.09122455779808</v>
      </c>
      <c r="R22" s="74" t="n">
        <f aca="false">R14*$B$5/1000</f>
        <v>1.08685965956689</v>
      </c>
      <c r="S22" s="74" t="n">
        <f aca="false">S14*$B$5/1000</f>
        <v>1.08251222092862</v>
      </c>
      <c r="T22" s="74" t="n">
        <f aca="false">T14*$B$5/1000</f>
        <v>1.07818217204491</v>
      </c>
      <c r="U22" s="74" t="n">
        <f aca="false">U14*$B$5/1000</f>
        <v>1.07386944335673</v>
      </c>
    </row>
    <row r="23" customFormat="false" ht="15" hidden="false" customHeight="false" outlineLevel="0" collapsed="false">
      <c r="C23" s="75" t="n">
        <f aca="false">+C22+B22</f>
        <v>2.313047714838</v>
      </c>
      <c r="D23" s="75" t="n">
        <f aca="false">+C23+D22</f>
        <v>3.46263706447865</v>
      </c>
      <c r="E23" s="75" t="n">
        <f aca="false">+D23+E22</f>
        <v>4.60762805672073</v>
      </c>
      <c r="F23" s="75" t="n">
        <f aca="false">+E23+F22</f>
        <v>5.74803908499385</v>
      </c>
      <c r="G23" s="75" t="n">
        <f aca="false">+F23+G22</f>
        <v>6.88388846915388</v>
      </c>
      <c r="H23" s="75" t="n">
        <f aca="false">+G23+H22</f>
        <v>8.01519445577726</v>
      </c>
      <c r="I23" s="75" t="n">
        <f aca="false">+H23+I22</f>
        <v>9.14197521845415</v>
      </c>
      <c r="J23" s="75" t="n">
        <f aca="false">+I23+J22</f>
        <v>10.2642488580803</v>
      </c>
      <c r="K23" s="75" t="n">
        <f aca="false">+J23+K22</f>
        <v>11.382033403148</v>
      </c>
      <c r="L23" s="75" t="n">
        <f aca="false">+K23+L22</f>
        <v>12.4953468100354</v>
      </c>
      <c r="M23" s="75" t="n">
        <f aca="false">+L23+M22</f>
        <v>13.6042069632953</v>
      </c>
      <c r="N23" s="75" t="n">
        <f aca="false">+M23+N22</f>
        <v>14.7086316759421</v>
      </c>
    </row>
  </sheetData>
  <mergeCells count="1">
    <mergeCell ref="A2:B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V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9.00390625" defaultRowHeight="15" customHeight="false" zeroHeight="false" outlineLevelRow="0" outlineLevelCol="0"/>
  <cols>
    <col collapsed="false" customWidth="true" hidden="false" outlineLevel="0" max="1" min="1" style="0" width="38.86"/>
    <col collapsed="false" customWidth="true" hidden="false" outlineLevel="0" max="2" min="2" style="0" width="15"/>
    <col collapsed="false" customWidth="true" hidden="false" outlineLevel="0" max="22" min="3" style="0" width="8.57"/>
  </cols>
  <sheetData>
    <row r="2" customFormat="false" ht="15" hidden="false" customHeight="false" outlineLevel="0" collapsed="false">
      <c r="A2" s="76" t="s">
        <v>95</v>
      </c>
    </row>
    <row r="3" customFormat="false" ht="15" hidden="false" customHeight="false" outlineLevel="0" collapsed="false">
      <c r="B3" s="77" t="n">
        <f aca="false">+Resultados!B6</f>
        <v>2026</v>
      </c>
      <c r="C3" s="77" t="n">
        <f aca="false">+Resultados!C6</f>
        <v>2027</v>
      </c>
      <c r="D3" s="77" t="n">
        <f aca="false">+Resultados!D6</f>
        <v>2028</v>
      </c>
      <c r="E3" s="77" t="n">
        <f aca="false">+Resultados!E6</f>
        <v>2029</v>
      </c>
      <c r="F3" s="77" t="n">
        <f aca="false">+Resultados!F6</f>
        <v>2030</v>
      </c>
      <c r="G3" s="77" t="n">
        <f aca="false">+Resultados!G6</f>
        <v>2031</v>
      </c>
      <c r="H3" s="77" t="n">
        <f aca="false">+Resultados!H6</f>
        <v>2032</v>
      </c>
      <c r="I3" s="77" t="n">
        <f aca="false">+Resultados!I6</f>
        <v>2033</v>
      </c>
      <c r="J3" s="77" t="n">
        <f aca="false">+Resultados!J6</f>
        <v>2034</v>
      </c>
      <c r="K3" s="77" t="n">
        <f aca="false">+Resultados!K6</f>
        <v>2035</v>
      </c>
      <c r="L3" s="77" t="n">
        <f aca="false">+Resultados!L6</f>
        <v>2036</v>
      </c>
      <c r="M3" s="77" t="n">
        <f aca="false">+Resultados!M6</f>
        <v>2037</v>
      </c>
      <c r="N3" s="77" t="n">
        <f aca="false">+Resultados!N6</f>
        <v>2038</v>
      </c>
      <c r="O3" s="77" t="n">
        <f aca="false">+Resultados!O6</f>
        <v>2039</v>
      </c>
      <c r="P3" s="77" t="n">
        <f aca="false">+Resultados!P6</f>
        <v>2040</v>
      </c>
      <c r="Q3" s="77" t="n">
        <f aca="false">+Resultados!Q6</f>
        <v>2041</v>
      </c>
      <c r="R3" s="77" t="n">
        <f aca="false">+Resultados!R6</f>
        <v>2042</v>
      </c>
      <c r="S3" s="77" t="n">
        <f aca="false">+Resultados!S6</f>
        <v>2043</v>
      </c>
      <c r="T3" s="77" t="n">
        <f aca="false">+Resultados!T6</f>
        <v>2044</v>
      </c>
      <c r="U3" s="77" t="n">
        <f aca="false">+Resultados!U6</f>
        <v>2045</v>
      </c>
      <c r="V3" s="77" t="n">
        <f aca="false">+Resultados!V6</f>
        <v>2046</v>
      </c>
    </row>
    <row r="4" customFormat="false" ht="15" hidden="false" customHeight="false" outlineLevel="0" collapsed="false">
      <c r="A4" s="64" t="s">
        <v>96</v>
      </c>
      <c r="B4" s="64"/>
      <c r="C4" s="13" t="n">
        <f aca="false">'Datos técnicos'!B18*'Eco-fin'!C17*(1+'Eco-fin'!$B$22)</f>
        <v>283.630562959327</v>
      </c>
      <c r="D4" s="13" t="n">
        <f aca="false">'Datos técnicos'!C18*'Eco-fin'!D17*(1+'Eco-fin'!$B$22)</f>
        <v>296.620842742864</v>
      </c>
      <c r="E4" s="13" t="n">
        <f aca="false">'Datos técnicos'!D18*'Eco-fin'!E17*(1+'Eco-fin'!$B$22)</f>
        <v>310.206077340488</v>
      </c>
      <c r="F4" s="13" t="n">
        <f aca="false">'Datos técnicos'!E18*'Eco-fin'!F17*(1+'Eco-fin'!$B$22)</f>
        <v>324.413515682682</v>
      </c>
      <c r="G4" s="13" t="n">
        <f aca="false">'Datos técnicos'!F18*'Eco-fin'!G17*(1+'Eco-fin'!$B$22)</f>
        <v>339.271654700949</v>
      </c>
      <c r="H4" s="13" t="n">
        <f aca="false">'Datos técnicos'!G18*'Eco-fin'!H17*(1+'Eco-fin'!$B$22)</f>
        <v>354.810296486252</v>
      </c>
      <c r="I4" s="13" t="n">
        <f aca="false">'Datos técnicos'!H18*'Eco-fin'!I17*(1+'Eco-fin'!$B$22)</f>
        <v>371.060608065323</v>
      </c>
      <c r="J4" s="13" t="n">
        <f aca="false">'Datos técnicos'!I18*'Eco-fin'!J17*(1+'Eco-fin'!$B$22)</f>
        <v>388.055183914715</v>
      </c>
      <c r="K4" s="13" t="n">
        <f aca="false">'Datos técnicos'!J18*'Eco-fin'!K17*(1+'Eco-fin'!$B$22)</f>
        <v>405.828111338008</v>
      </c>
      <c r="L4" s="13" t="n">
        <f aca="false">'Datos técnicos'!K18*'Eco-fin'!L17*(1+'Eco-fin'!$B$22)</f>
        <v>424.415038837289</v>
      </c>
      <c r="M4" s="13" t="n">
        <f aca="false">'Datos técnicos'!L18*'Eco-fin'!M17*(1+'Eco-fin'!$B$22)</f>
        <v>443.853247616037</v>
      </c>
      <c r="N4" s="13" t="n">
        <f aca="false">'Datos técnicos'!M18*'Eco-fin'!N17*(1+'Eco-fin'!$B$22)</f>
        <v>464.181726356852</v>
      </c>
      <c r="O4" s="13" t="n">
        <f aca="false">'Datos técnicos'!N18*'Eco-fin'!O17*(1+'Eco-fin'!$B$22)</f>
        <v>485.441249423995</v>
      </c>
      <c r="P4" s="13" t="n">
        <f aca="false">'Datos técnicos'!O18*'Eco-fin'!P17*(1+'Eco-fin'!$B$22)</f>
        <v>507.674458647615</v>
      </c>
      <c r="Q4" s="13" t="n">
        <f aca="false">'Datos técnicos'!P18*'Eco-fin'!Q17*(1+'Eco-fin'!$B$22)</f>
        <v>530.925948853675</v>
      </c>
      <c r="R4" s="13" t="n">
        <f aca="false">'Datos técnicos'!Q18*'Eco-fin'!R17*(1+'Eco-fin'!$B$22)</f>
        <v>555.242357311174</v>
      </c>
      <c r="S4" s="13" t="n">
        <f aca="false">'Datos técnicos'!R18*'Eco-fin'!S17*(1+'Eco-fin'!$B$22)</f>
        <v>580.672457276025</v>
      </c>
      <c r="T4" s="13" t="n">
        <f aca="false">'Datos técnicos'!S18*'Eco-fin'!T17*(1+'Eco-fin'!$B$22)</f>
        <v>607.267255819267</v>
      </c>
      <c r="U4" s="13" t="n">
        <f aca="false">'Datos técnicos'!T18*'Eco-fin'!U17*(1+'Eco-fin'!$B$22)</f>
        <v>635.08009613579</v>
      </c>
      <c r="V4" s="13" t="n">
        <f aca="false">'Datos técnicos'!U18*'Eco-fin'!V17*(1+'Eco-fin'!$B$22)</f>
        <v>664.166764538809</v>
      </c>
    </row>
    <row r="5" customFormat="false" ht="15" hidden="false" customHeight="false" outlineLevel="0" collapsed="false">
      <c r="A5" s="64" t="s">
        <v>97</v>
      </c>
      <c r="B5" s="64"/>
      <c r="C5" s="13" t="n">
        <f aca="false">'Datos técnicos'!B19*'Eco-fin'!C18</f>
        <v>50.2891069076821</v>
      </c>
      <c r="D5" s="13" t="n">
        <f aca="false">'Datos técnicos'!C19*'Eco-fin'!D18</f>
        <v>52.5923480040539</v>
      </c>
      <c r="E5" s="13" t="n">
        <f aca="false">'Datos técnicos'!D19*'Eco-fin'!E18</f>
        <v>55.0010775426397</v>
      </c>
      <c r="F5" s="13" t="n">
        <f aca="false">'Datos técnicos'!E19*'Eco-fin'!F18</f>
        <v>57.5201268940925</v>
      </c>
      <c r="G5" s="13" t="n">
        <f aca="false">'Datos técnicos'!F19*'Eco-fin'!G18</f>
        <v>60.154548705842</v>
      </c>
      <c r="H5" s="13" t="n">
        <f aca="false">'Datos técnicos'!G19*'Eco-fin'!H18</f>
        <v>62.9096270365695</v>
      </c>
      <c r="I5" s="13" t="n">
        <f aca="false">'Datos técnicos'!H19*'Eco-fin'!I18</f>
        <v>65.7908879548445</v>
      </c>
      <c r="J5" s="13" t="n">
        <f aca="false">'Datos técnicos'!I19*'Eco-fin'!J18</f>
        <v>68.8041106231763</v>
      </c>
      <c r="K5" s="13" t="n">
        <f aca="false">'Datos técnicos'!J19*'Eco-fin'!K18</f>
        <v>71.9553388897178</v>
      </c>
      <c r="L5" s="13" t="n">
        <f aca="false">'Datos técnicos'!K19*'Eco-fin'!L18</f>
        <v>75.2508934108669</v>
      </c>
      <c r="M5" s="13" t="n">
        <f aca="false">'Datos técnicos'!L19*'Eco-fin'!M18</f>
        <v>78.6973843290845</v>
      </c>
      <c r="N5" s="13" t="n">
        <f aca="false">'Datos técnicos'!M19*'Eco-fin'!N18</f>
        <v>82.3017245313567</v>
      </c>
      <c r="O5" s="13" t="n">
        <f aca="false">'Datos técnicos'!N19*'Eco-fin'!O18</f>
        <v>86.0711435148928</v>
      </c>
      <c r="P5" s="13" t="n">
        <f aca="false">'Datos técnicos'!O19*'Eco-fin'!P18</f>
        <v>90.0132018878749</v>
      </c>
      <c r="Q5" s="13" t="n">
        <f aca="false">'Datos técnicos'!P19*'Eco-fin'!Q18</f>
        <v>94.1358065343396</v>
      </c>
      <c r="R5" s="13" t="n">
        <f aca="false">'Datos técnicos'!Q19*'Eco-fin'!R18</f>
        <v>98.4472264736123</v>
      </c>
      <c r="S5" s="13" t="n">
        <f aca="false">'Datos técnicos'!R19*'Eco-fin'!S18</f>
        <v>102.956109446104</v>
      </c>
      <c r="T5" s="13" t="n">
        <f aca="false">'Datos técnicos'!S19*'Eco-fin'!T18</f>
        <v>107.671499258735</v>
      </c>
      <c r="U5" s="13" t="n">
        <f aca="false">'Datos técnicos'!T19*'Eco-fin'!U18</f>
        <v>112.602853924785</v>
      </c>
      <c r="V5" s="13" t="n">
        <f aca="false">'Datos técnicos'!U19*'Eco-fin'!V18</f>
        <v>117.760064634541</v>
      </c>
    </row>
    <row r="6" customFormat="false" ht="15" hidden="false" customHeight="false" outlineLevel="0" collapsed="false">
      <c r="A6" s="64" t="s">
        <v>98</v>
      </c>
      <c r="B6" s="64"/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n">
        <v>0</v>
      </c>
      <c r="J6" s="13" t="n">
        <v>0</v>
      </c>
      <c r="K6" s="13" t="n">
        <v>0</v>
      </c>
      <c r="L6" s="13" t="n">
        <v>0</v>
      </c>
      <c r="M6" s="13" t="n">
        <v>0</v>
      </c>
      <c r="N6" s="13" t="n">
        <v>0</v>
      </c>
      <c r="O6" s="13" t="n">
        <v>0</v>
      </c>
      <c r="P6" s="13" t="n">
        <v>0</v>
      </c>
      <c r="Q6" s="13" t="n">
        <v>0</v>
      </c>
      <c r="R6" s="13" t="n">
        <v>0</v>
      </c>
      <c r="S6" s="13" t="n">
        <v>0</v>
      </c>
      <c r="T6" s="13" t="n">
        <v>0</v>
      </c>
      <c r="U6" s="13" t="n">
        <v>0</v>
      </c>
      <c r="V6" s="13" t="n">
        <v>0</v>
      </c>
    </row>
    <row r="8" customFormat="false" ht="15" hidden="false" customHeight="false" outlineLevel="0" collapsed="false">
      <c r="A8" s="64" t="s">
        <v>99</v>
      </c>
      <c r="B8" s="17" t="n">
        <f aca="false">+Parametros!B17</f>
        <v>1510</v>
      </c>
    </row>
    <row r="10" customFormat="false" ht="15" hidden="false" customHeight="false" outlineLevel="0" collapsed="false">
      <c r="E10" s="72"/>
    </row>
    <row r="11" customFormat="false" ht="15" hidden="false" customHeight="false" outlineLevel="0" collapsed="false">
      <c r="A11" s="76" t="s">
        <v>100</v>
      </c>
    </row>
    <row r="12" customFormat="false" ht="15" hidden="false" customHeight="false" outlineLevel="0" collapsed="false">
      <c r="A12" s="64" t="s">
        <v>101</v>
      </c>
      <c r="B12" s="17" t="n">
        <f aca="false">VLOOKUP('Datos técnicos'!B9,Parametros!$A$22:$D$29,2,FALSE())</f>
        <v>123.87894</v>
      </c>
    </row>
    <row r="13" customFormat="false" ht="15" hidden="false" customHeight="false" outlineLevel="0" collapsed="false">
      <c r="A13" s="64" t="s">
        <v>102</v>
      </c>
      <c r="B13" s="17" t="n">
        <f aca="false">VLOOKUP('Datos técnicos'!B9,Parametros!$A$22:$D$29,3,FALSE())</f>
        <v>123.87894</v>
      </c>
    </row>
    <row r="15" customFormat="false" ht="15" hidden="false" customHeight="false" outlineLevel="0" collapsed="false">
      <c r="A15" s="76" t="s">
        <v>103</v>
      </c>
    </row>
    <row r="16" customFormat="false" ht="15" hidden="false" customHeight="false" outlineLevel="0" collapsed="false">
      <c r="B16" s="77" t="n">
        <f aca="false">+B3</f>
        <v>2026</v>
      </c>
      <c r="C16" s="77" t="n">
        <f aca="false">+C3</f>
        <v>2027</v>
      </c>
      <c r="D16" s="77" t="n">
        <f aca="false">+D3</f>
        <v>2028</v>
      </c>
      <c r="E16" s="77" t="n">
        <f aca="false">+E3</f>
        <v>2029</v>
      </c>
      <c r="F16" s="77" t="n">
        <f aca="false">+F3</f>
        <v>2030</v>
      </c>
      <c r="G16" s="77" t="n">
        <f aca="false">+G3</f>
        <v>2031</v>
      </c>
      <c r="H16" s="77" t="n">
        <f aca="false">+H3</f>
        <v>2032</v>
      </c>
      <c r="I16" s="77" t="n">
        <f aca="false">+I3</f>
        <v>2033</v>
      </c>
      <c r="J16" s="77" t="n">
        <f aca="false">+J3</f>
        <v>2034</v>
      </c>
      <c r="K16" s="77" t="n">
        <f aca="false">+K3</f>
        <v>2035</v>
      </c>
      <c r="L16" s="77" t="n">
        <f aca="false">+L3</f>
        <v>2036</v>
      </c>
      <c r="M16" s="77" t="n">
        <f aca="false">+M3</f>
        <v>2037</v>
      </c>
      <c r="N16" s="77" t="n">
        <f aca="false">+N3</f>
        <v>2038</v>
      </c>
      <c r="O16" s="77" t="n">
        <f aca="false">+O3</f>
        <v>2039</v>
      </c>
      <c r="P16" s="77" t="n">
        <f aca="false">+P3</f>
        <v>2040</v>
      </c>
      <c r="Q16" s="77" t="n">
        <f aca="false">+Q3</f>
        <v>2041</v>
      </c>
      <c r="R16" s="77" t="n">
        <f aca="false">+R3</f>
        <v>2042</v>
      </c>
      <c r="S16" s="77" t="n">
        <f aca="false">+S3</f>
        <v>2043</v>
      </c>
      <c r="T16" s="77" t="n">
        <f aca="false">+T3</f>
        <v>2044</v>
      </c>
      <c r="U16" s="77" t="n">
        <f aca="false">+U3</f>
        <v>2045</v>
      </c>
      <c r="V16" s="77" t="n">
        <f aca="false">+V3</f>
        <v>2046</v>
      </c>
    </row>
    <row r="17" customFormat="false" ht="15" hidden="false" customHeight="false" outlineLevel="0" collapsed="false">
      <c r="A17" s="64" t="s">
        <v>104</v>
      </c>
      <c r="B17" s="78" t="n">
        <f aca="false">B12/B8</f>
        <v>0.0820390331125828</v>
      </c>
      <c r="C17" s="78" t="n">
        <f aca="false">B17*(1+C19)</f>
        <v>0.0861409847682119</v>
      </c>
      <c r="D17" s="78" t="n">
        <f aca="false">C17*(1+D19)</f>
        <v>0.0904480340066225</v>
      </c>
      <c r="E17" s="78" t="n">
        <f aca="false">D17*(1+E19)</f>
        <v>0.0949704357069537</v>
      </c>
      <c r="F17" s="78" t="n">
        <f aca="false">E17*(1+F19)</f>
        <v>0.0997189574923014</v>
      </c>
      <c r="G17" s="78" t="n">
        <f aca="false">F17*(1+G19)</f>
        <v>0.104704905366916</v>
      </c>
      <c r="H17" s="78" t="n">
        <f aca="false">G17*(1+H19)</f>
        <v>0.109940150635262</v>
      </c>
      <c r="I17" s="78" t="n">
        <f aca="false">H17*(1+I19)</f>
        <v>0.115437158167025</v>
      </c>
      <c r="J17" s="78" t="n">
        <f aca="false">I17*(1+J19)</f>
        <v>0.121209016075377</v>
      </c>
      <c r="K17" s="78" t="n">
        <f aca="false">J17*(1+K19)</f>
        <v>0.127269466879145</v>
      </c>
      <c r="L17" s="78" t="n">
        <f aca="false">K17*(1+L19)</f>
        <v>0.133632940223103</v>
      </c>
      <c r="M17" s="78" t="n">
        <f aca="false">L17*(1+M19)</f>
        <v>0.140314587234258</v>
      </c>
      <c r="N17" s="78" t="n">
        <f aca="false">M17*(1+N19)</f>
        <v>0.147330316595971</v>
      </c>
      <c r="O17" s="78" t="n">
        <f aca="false">N17*(1+O19)</f>
        <v>0.154696832425769</v>
      </c>
      <c r="P17" s="78" t="n">
        <f aca="false">O17*(1+P19)</f>
        <v>0.162431674047058</v>
      </c>
      <c r="Q17" s="78" t="n">
        <f aca="false">P17*(1+Q19)</f>
        <v>0.170553257749411</v>
      </c>
      <c r="R17" s="78" t="n">
        <f aca="false">Q17*(1+R19)</f>
        <v>0.179080920636881</v>
      </c>
      <c r="S17" s="78" t="n">
        <f aca="false">R17*(1+S19)</f>
        <v>0.188034966668725</v>
      </c>
      <c r="T17" s="78" t="n">
        <f aca="false">S17*(1+T19)</f>
        <v>0.197436715002162</v>
      </c>
      <c r="U17" s="78" t="n">
        <f aca="false">T17*(1+U19)</f>
        <v>0.20730855075227</v>
      </c>
      <c r="V17" s="78" t="n">
        <f aca="false">U17*(1+V19)</f>
        <v>0.217673978289883</v>
      </c>
    </row>
    <row r="18" customFormat="false" ht="15" hidden="false" customHeight="false" outlineLevel="0" collapsed="false">
      <c r="A18" s="64" t="s">
        <v>105</v>
      </c>
      <c r="B18" s="78" t="n">
        <f aca="false">B13/B8</f>
        <v>0.0820390331125828</v>
      </c>
      <c r="C18" s="78" t="n">
        <f aca="false">B18*(1+C19)</f>
        <v>0.0861409847682119</v>
      </c>
      <c r="D18" s="78" t="n">
        <f aca="false">C18*(1+D19)</f>
        <v>0.0904480340066225</v>
      </c>
      <c r="E18" s="78" t="n">
        <f aca="false">D18*(1+E19)</f>
        <v>0.0949704357069537</v>
      </c>
      <c r="F18" s="78" t="n">
        <f aca="false">E18*(1+F19)</f>
        <v>0.0997189574923014</v>
      </c>
      <c r="G18" s="78" t="n">
        <f aca="false">F18*(1+G19)</f>
        <v>0.104704905366916</v>
      </c>
      <c r="H18" s="78" t="n">
        <f aca="false">G18*(1+H19)</f>
        <v>0.109940150635262</v>
      </c>
      <c r="I18" s="78" t="n">
        <f aca="false">H18*(1+I19)</f>
        <v>0.115437158167025</v>
      </c>
      <c r="J18" s="78" t="n">
        <f aca="false">I18*(1+J19)</f>
        <v>0.121209016075377</v>
      </c>
      <c r="K18" s="78" t="n">
        <f aca="false">J18*(1+K19)</f>
        <v>0.127269466879145</v>
      </c>
      <c r="L18" s="78" t="n">
        <f aca="false">K18*(1+L19)</f>
        <v>0.133632940223103</v>
      </c>
      <c r="M18" s="78" t="n">
        <f aca="false">L18*(1+M19)</f>
        <v>0.140314587234258</v>
      </c>
      <c r="N18" s="78" t="n">
        <f aca="false">M18*(1+N19)</f>
        <v>0.147330316595971</v>
      </c>
      <c r="O18" s="78" t="n">
        <f aca="false">N18*(1+O19)</f>
        <v>0.154696832425769</v>
      </c>
      <c r="P18" s="78" t="n">
        <f aca="false">O18*(1+P19)</f>
        <v>0.162431674047058</v>
      </c>
      <c r="Q18" s="78" t="n">
        <f aca="false">P18*(1+Q19)</f>
        <v>0.170553257749411</v>
      </c>
      <c r="R18" s="78" t="n">
        <f aca="false">Q18*(1+R19)</f>
        <v>0.179080920636881</v>
      </c>
      <c r="S18" s="78" t="n">
        <f aca="false">R18*(1+S19)</f>
        <v>0.188034966668725</v>
      </c>
      <c r="T18" s="78" t="n">
        <f aca="false">S18*(1+T19)</f>
        <v>0.197436715002162</v>
      </c>
      <c r="U18" s="78" t="n">
        <f aca="false">T18*(1+U19)</f>
        <v>0.20730855075227</v>
      </c>
      <c r="V18" s="78" t="n">
        <f aca="false">U18*(1+V19)</f>
        <v>0.217673978289883</v>
      </c>
    </row>
    <row r="19" customFormat="false" ht="15" hidden="false" customHeight="false" outlineLevel="0" collapsed="false">
      <c r="A19" s="64" t="s">
        <v>106</v>
      </c>
      <c r="B19" s="78"/>
      <c r="C19" s="66" t="n">
        <f aca="false">+Parametros!B18</f>
        <v>0.05</v>
      </c>
      <c r="D19" s="66" t="n">
        <f aca="false">+C19</f>
        <v>0.05</v>
      </c>
      <c r="E19" s="66" t="n">
        <f aca="false">+D19</f>
        <v>0.05</v>
      </c>
      <c r="F19" s="66" t="n">
        <f aca="false">+E19</f>
        <v>0.05</v>
      </c>
      <c r="G19" s="66" t="n">
        <f aca="false">+F19</f>
        <v>0.05</v>
      </c>
      <c r="H19" s="66" t="n">
        <f aca="false">+G19</f>
        <v>0.05</v>
      </c>
      <c r="I19" s="66" t="n">
        <f aca="false">+H19</f>
        <v>0.05</v>
      </c>
      <c r="J19" s="66" t="n">
        <f aca="false">+I19</f>
        <v>0.05</v>
      </c>
      <c r="K19" s="66" t="n">
        <f aca="false">+J19</f>
        <v>0.05</v>
      </c>
      <c r="L19" s="66" t="n">
        <f aca="false">+K19</f>
        <v>0.05</v>
      </c>
      <c r="M19" s="66" t="n">
        <f aca="false">+L19</f>
        <v>0.05</v>
      </c>
      <c r="N19" s="66" t="n">
        <f aca="false">+M19</f>
        <v>0.05</v>
      </c>
      <c r="O19" s="66" t="n">
        <f aca="false">+N19</f>
        <v>0.05</v>
      </c>
      <c r="P19" s="66" t="n">
        <f aca="false">+O19</f>
        <v>0.05</v>
      </c>
      <c r="Q19" s="66" t="n">
        <f aca="false">+P19</f>
        <v>0.05</v>
      </c>
      <c r="R19" s="66" t="n">
        <f aca="false">+Q19</f>
        <v>0.05</v>
      </c>
      <c r="S19" s="66" t="n">
        <f aca="false">+R19</f>
        <v>0.05</v>
      </c>
      <c r="T19" s="66" t="n">
        <f aca="false">+S19</f>
        <v>0.05</v>
      </c>
      <c r="U19" s="66" t="n">
        <f aca="false">+T19</f>
        <v>0.05</v>
      </c>
      <c r="V19" s="66" t="n">
        <f aca="false">+U19</f>
        <v>0.05</v>
      </c>
    </row>
    <row r="20" customFormat="false" ht="15" hidden="false" customHeight="false" outlineLevel="0" collapsed="false"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</row>
    <row r="21" customFormat="false" ht="15" hidden="false" customHeight="false" outlineLevel="0" collapsed="false">
      <c r="A21" s="76" t="s">
        <v>107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</row>
    <row r="22" customFormat="false" ht="15" hidden="false" customHeight="false" outlineLevel="0" collapsed="false">
      <c r="A22" s="64" t="s">
        <v>108</v>
      </c>
      <c r="B22" s="66" t="n">
        <f aca="false">+Parametros!B35</f>
        <v>0.41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</row>
    <row r="23" customFormat="false" ht="15" hidden="false" customHeight="false" outlineLevel="0" collapsed="false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</row>
    <row r="24" customFormat="false" ht="15" hidden="false" customHeight="false" outlineLevel="0" collapsed="false">
      <c r="A24" s="76" t="s">
        <v>109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</row>
    <row r="25" customFormat="false" ht="15" hidden="false" customHeight="false" outlineLevel="0" collapsed="false">
      <c r="B25" s="77" t="n">
        <f aca="false">+B16</f>
        <v>2026</v>
      </c>
      <c r="C25" s="77" t="n">
        <f aca="false">+C16</f>
        <v>2027</v>
      </c>
      <c r="D25" s="77" t="n">
        <f aca="false">+D16</f>
        <v>2028</v>
      </c>
      <c r="E25" s="77" t="n">
        <f aca="false">+E16</f>
        <v>2029</v>
      </c>
      <c r="F25" s="77" t="n">
        <f aca="false">+F16</f>
        <v>2030</v>
      </c>
      <c r="G25" s="77" t="n">
        <f aca="false">+G16</f>
        <v>2031</v>
      </c>
      <c r="H25" s="77" t="n">
        <f aca="false">+H16</f>
        <v>2032</v>
      </c>
      <c r="I25" s="77" t="n">
        <f aca="false">+I16</f>
        <v>2033</v>
      </c>
      <c r="J25" s="77" t="n">
        <f aca="false">+J16</f>
        <v>2034</v>
      </c>
      <c r="K25" s="77" t="n">
        <f aca="false">+K16</f>
        <v>2035</v>
      </c>
      <c r="L25" s="77" t="n">
        <f aca="false">+L16</f>
        <v>2036</v>
      </c>
      <c r="M25" s="77" t="n">
        <f aca="false">+M16</f>
        <v>2037</v>
      </c>
      <c r="N25" s="77" t="n">
        <f aca="false">+N16</f>
        <v>2038</v>
      </c>
      <c r="O25" s="77" t="n">
        <f aca="false">+O16</f>
        <v>2039</v>
      </c>
      <c r="P25" s="77" t="n">
        <f aca="false">+P16</f>
        <v>2040</v>
      </c>
      <c r="Q25" s="77" t="n">
        <f aca="false">+Q16</f>
        <v>2041</v>
      </c>
      <c r="R25" s="77" t="n">
        <f aca="false">+R16</f>
        <v>2042</v>
      </c>
      <c r="S25" s="77" t="n">
        <f aca="false">+S16</f>
        <v>2043</v>
      </c>
      <c r="T25" s="77" t="n">
        <f aca="false">+T16</f>
        <v>2044</v>
      </c>
      <c r="U25" s="77" t="n">
        <f aca="false">+U16</f>
        <v>2045</v>
      </c>
      <c r="V25" s="77" t="n">
        <f aca="false">+V16</f>
        <v>2046</v>
      </c>
    </row>
    <row r="26" customFormat="false" ht="15" hidden="false" customHeight="false" outlineLevel="0" collapsed="false">
      <c r="A26" s="64" t="s">
        <v>110</v>
      </c>
      <c r="B26" s="13" t="n">
        <f aca="false">+Parametros!B9</f>
        <v>1.5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</row>
    <row r="27" customFormat="false" ht="15" hidden="false" customHeight="false" outlineLevel="0" collapsed="false">
      <c r="A27" s="64" t="s">
        <v>111</v>
      </c>
      <c r="B27" s="13" t="n">
        <f aca="false">+Parametros!B12</f>
        <v>508.681437218543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</row>
    <row r="28" customFormat="false" ht="15" hidden="false" customHeight="false" outlineLevel="0" collapsed="false">
      <c r="A28" s="64" t="s">
        <v>112</v>
      </c>
      <c r="B28" s="13" t="n">
        <f aca="false">B26*'Datos de entrada'!B24+B27</f>
        <v>2908.68143721854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</row>
    <row r="29" customFormat="false" ht="15" hidden="false" customHeight="false" outlineLevel="0" collapsed="false">
      <c r="A29" s="64" t="s">
        <v>113</v>
      </c>
      <c r="B29" s="13" t="n">
        <f aca="false">+Parametros!B14</f>
        <v>29.0868143721854</v>
      </c>
      <c r="C29" s="79" t="n">
        <f aca="false">+B29*(1+Parametros!$B$18)</f>
        <v>30.5411550907947</v>
      </c>
      <c r="D29" s="79" t="n">
        <f aca="false">+C29*(1+Parametros!$B$18)</f>
        <v>32.0682128453344</v>
      </c>
      <c r="E29" s="79" t="n">
        <f aca="false">+D29*(1+Parametros!$B$18)</f>
        <v>33.6716234876012</v>
      </c>
      <c r="F29" s="79" t="n">
        <f aca="false">+E29*(1+Parametros!$B$18)</f>
        <v>35.3552046619812</v>
      </c>
      <c r="G29" s="79" t="n">
        <f aca="false">+F29*(1+Parametros!$B$18)</f>
        <v>37.1229648950803</v>
      </c>
      <c r="H29" s="79" t="n">
        <f aca="false">+G29*(1+Parametros!$B$18)</f>
        <v>38.9791131398343</v>
      </c>
      <c r="I29" s="79" t="n">
        <f aca="false">+H29*(1+Parametros!$B$18)</f>
        <v>40.928068796826</v>
      </c>
      <c r="J29" s="79" t="n">
        <f aca="false">+I29*(1+Parametros!$B$18)</f>
        <v>42.9744722366673</v>
      </c>
      <c r="K29" s="79" t="n">
        <f aca="false">+J29*(1+Parametros!$B$18)</f>
        <v>45.1231958485007</v>
      </c>
      <c r="L29" s="79" t="n">
        <f aca="false">+K29*(1+Parametros!$B$18)</f>
        <v>47.3793556409257</v>
      </c>
      <c r="M29" s="79" t="n">
        <f aca="false">+L29*(1+Parametros!$B$18)</f>
        <v>49.748323422972</v>
      </c>
      <c r="N29" s="79" t="n">
        <f aca="false">+M29*(1+Parametros!$B$18)</f>
        <v>52.2357395941206</v>
      </c>
      <c r="O29" s="79" t="n">
        <f aca="false">+N29*(1+Parametros!$B$18)</f>
        <v>54.8475265738267</v>
      </c>
      <c r="P29" s="79" t="n">
        <f aca="false">+O29*(1+Parametros!$B$18)</f>
        <v>57.589902902518</v>
      </c>
      <c r="Q29" s="79" t="n">
        <f aca="false">+P29*(1+Parametros!$B$18)</f>
        <v>60.4693980476439</v>
      </c>
      <c r="R29" s="79" t="n">
        <f aca="false">+Q29*(1+Parametros!$B$18)</f>
        <v>63.4928679500261</v>
      </c>
      <c r="S29" s="79" t="n">
        <f aca="false">+R29*(1+Parametros!$B$18)</f>
        <v>66.6675113475274</v>
      </c>
      <c r="T29" s="79" t="n">
        <f aca="false">+S29*(1+Parametros!$B$18)</f>
        <v>70.0008869149038</v>
      </c>
      <c r="U29" s="79" t="n">
        <f aca="false">+T29*(1+Parametros!$B$18)</f>
        <v>73.500931260649</v>
      </c>
      <c r="V29" s="79" t="n">
        <f aca="false">+U29*(1+Parametros!$B$18)</f>
        <v>77.1759778236814</v>
      </c>
    </row>
    <row r="31" customFormat="false" ht="15" hidden="false" customHeight="false" outlineLevel="0" collapsed="false">
      <c r="B31" s="72"/>
    </row>
    <row r="32" customFormat="false" ht="15" hidden="false" customHeight="false" outlineLevel="0" collapsed="false">
      <c r="B32" s="72"/>
    </row>
    <row r="33" customFormat="false" ht="15" hidden="false" customHeight="false" outlineLevel="0" collapsed="false">
      <c r="B33" s="72"/>
    </row>
    <row r="34" customFormat="false" ht="15" hidden="false" customHeight="false" outlineLevel="0" collapsed="false">
      <c r="B34" s="7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V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9.00390625" defaultRowHeight="15" customHeight="false" zeroHeight="false" outlineLevelRow="0" outlineLevelCol="0"/>
  <cols>
    <col collapsed="false" customWidth="true" hidden="false" outlineLevel="0" max="1" min="1" style="0" width="25.85"/>
    <col collapsed="false" customWidth="true" hidden="false" outlineLevel="0" max="2" min="2" style="0" width="12.57"/>
    <col collapsed="false" customWidth="true" hidden="false" outlineLevel="0" max="4" min="3" style="0" width="10.86"/>
    <col collapsed="false" customWidth="true" hidden="false" outlineLevel="0" max="21" min="5" style="0" width="10.42"/>
    <col collapsed="false" customWidth="true" hidden="false" outlineLevel="0" max="22" min="22" style="0" width="9.85"/>
  </cols>
  <sheetData>
    <row r="2" customFormat="false" ht="15" hidden="false" customHeight="false" outlineLevel="0" collapsed="false">
      <c r="A2" s="80" t="s">
        <v>114</v>
      </c>
    </row>
    <row r="3" customFormat="false" ht="15" hidden="false" customHeight="false" outlineLevel="0" collapsed="false">
      <c r="A3" s="64" t="s">
        <v>115</v>
      </c>
      <c r="B3" s="81" t="n">
        <f aca="false">+Parametros!B19</f>
        <v>0.05</v>
      </c>
    </row>
    <row r="5" customFormat="false" ht="15" hidden="false" customHeight="false" outlineLevel="0" collapsed="false">
      <c r="A5" s="80" t="s">
        <v>116</v>
      </c>
      <c r="B5" s="77" t="n">
        <v>0</v>
      </c>
      <c r="C5" s="77" t="n">
        <f aca="false">+B5+1</f>
        <v>1</v>
      </c>
      <c r="D5" s="77" t="n">
        <f aca="false">+C5+1</f>
        <v>2</v>
      </c>
      <c r="E5" s="77" t="n">
        <f aca="false">+D5+1</f>
        <v>3</v>
      </c>
      <c r="F5" s="77" t="n">
        <f aca="false">+E5+1</f>
        <v>4</v>
      </c>
      <c r="G5" s="77" t="n">
        <f aca="false">+F5+1</f>
        <v>5</v>
      </c>
      <c r="H5" s="77" t="n">
        <f aca="false">+G5+1</f>
        <v>6</v>
      </c>
      <c r="I5" s="77" t="n">
        <f aca="false">+H5+1</f>
        <v>7</v>
      </c>
      <c r="J5" s="77" t="n">
        <f aca="false">+I5+1</f>
        <v>8</v>
      </c>
      <c r="K5" s="77" t="n">
        <f aca="false">+J5+1</f>
        <v>9</v>
      </c>
      <c r="L5" s="77" t="n">
        <f aca="false">+K5+1</f>
        <v>10</v>
      </c>
      <c r="M5" s="77" t="n">
        <f aca="false">+L5+1</f>
        <v>11</v>
      </c>
      <c r="N5" s="77" t="n">
        <f aca="false">+M5+1</f>
        <v>12</v>
      </c>
      <c r="O5" s="77" t="n">
        <f aca="false">+N5+1</f>
        <v>13</v>
      </c>
      <c r="P5" s="77" t="n">
        <f aca="false">+O5+1</f>
        <v>14</v>
      </c>
      <c r="Q5" s="77" t="n">
        <f aca="false">+P5+1</f>
        <v>15</v>
      </c>
      <c r="R5" s="77" t="n">
        <f aca="false">+Q5+1</f>
        <v>16</v>
      </c>
      <c r="S5" s="77" t="n">
        <f aca="false">+R5+1</f>
        <v>17</v>
      </c>
      <c r="T5" s="77" t="n">
        <f aca="false">+S5+1</f>
        <v>18</v>
      </c>
      <c r="U5" s="77" t="n">
        <f aca="false">+T5+1</f>
        <v>19</v>
      </c>
      <c r="V5" s="77" t="n">
        <f aca="false">+U5+1</f>
        <v>20</v>
      </c>
    </row>
    <row r="6" customFormat="false" ht="15" hidden="false" customHeight="false" outlineLevel="0" collapsed="false">
      <c r="B6" s="82" t="n">
        <f aca="true">+YEAR(TODAY())</f>
        <v>2026</v>
      </c>
      <c r="C6" s="82" t="n">
        <f aca="false">+B6+1</f>
        <v>2027</v>
      </c>
      <c r="D6" s="82" t="n">
        <f aca="false">+C6+1</f>
        <v>2028</v>
      </c>
      <c r="E6" s="82" t="n">
        <f aca="false">+D6+1</f>
        <v>2029</v>
      </c>
      <c r="F6" s="82" t="n">
        <f aca="false">+E6+1</f>
        <v>2030</v>
      </c>
      <c r="G6" s="82" t="n">
        <f aca="false">+F6+1</f>
        <v>2031</v>
      </c>
      <c r="H6" s="82" t="n">
        <f aca="false">+G6+1</f>
        <v>2032</v>
      </c>
      <c r="I6" s="82" t="n">
        <f aca="false">+H6+1</f>
        <v>2033</v>
      </c>
      <c r="J6" s="82" t="n">
        <f aca="false">+I6+1</f>
        <v>2034</v>
      </c>
      <c r="K6" s="82" t="n">
        <f aca="false">+J6+1</f>
        <v>2035</v>
      </c>
      <c r="L6" s="82" t="n">
        <f aca="false">+K6+1</f>
        <v>2036</v>
      </c>
      <c r="M6" s="82" t="n">
        <f aca="false">+L6+1</f>
        <v>2037</v>
      </c>
      <c r="N6" s="82" t="n">
        <f aca="false">+M6+1</f>
        <v>2038</v>
      </c>
      <c r="O6" s="82" t="n">
        <f aca="false">+N6+1</f>
        <v>2039</v>
      </c>
      <c r="P6" s="82" t="n">
        <f aca="false">+O6+1</f>
        <v>2040</v>
      </c>
      <c r="Q6" s="82" t="n">
        <f aca="false">+P6+1</f>
        <v>2041</v>
      </c>
      <c r="R6" s="82" t="n">
        <f aca="false">+Q6+1</f>
        <v>2042</v>
      </c>
      <c r="S6" s="82" t="n">
        <f aca="false">+R6+1</f>
        <v>2043</v>
      </c>
      <c r="T6" s="82" t="n">
        <f aca="false">+S6+1</f>
        <v>2044</v>
      </c>
      <c r="U6" s="82" t="n">
        <f aca="false">+T6+1</f>
        <v>2045</v>
      </c>
      <c r="V6" s="82" t="n">
        <f aca="false">+U6+1</f>
        <v>2046</v>
      </c>
    </row>
    <row r="7" customFormat="false" ht="15" hidden="false" customHeight="false" outlineLevel="0" collapsed="false">
      <c r="A7" s="64" t="s">
        <v>117</v>
      </c>
      <c r="B7" s="83"/>
      <c r="C7" s="83" t="n">
        <f aca="false">SUM('Eco-fin'!C4:C6)</f>
        <v>333.919669867009</v>
      </c>
      <c r="D7" s="83" t="n">
        <f aca="false">SUM('Eco-fin'!D4:D6)</f>
        <v>349.213190746918</v>
      </c>
      <c r="E7" s="83" t="n">
        <f aca="false">SUM('Eco-fin'!E4:E6)</f>
        <v>365.207154883127</v>
      </c>
      <c r="F7" s="83" t="n">
        <f aca="false">SUM('Eco-fin'!F4:F6)</f>
        <v>381.933642576775</v>
      </c>
      <c r="G7" s="83" t="n">
        <f aca="false">SUM('Eco-fin'!G4:G6)</f>
        <v>399.426203406791</v>
      </c>
      <c r="H7" s="83" t="n">
        <f aca="false">SUM('Eco-fin'!H4:H6)</f>
        <v>417.719923522822</v>
      </c>
      <c r="I7" s="83" t="n">
        <f aca="false">SUM('Eco-fin'!I4:I6)</f>
        <v>436.851496020167</v>
      </c>
      <c r="J7" s="83" t="n">
        <f aca="false">SUM('Eco-fin'!J4:J6)</f>
        <v>456.859294537891</v>
      </c>
      <c r="K7" s="83" t="n">
        <f aca="false">SUM('Eco-fin'!K4:K6)</f>
        <v>477.783450227726</v>
      </c>
      <c r="L7" s="83" t="n">
        <f aca="false">SUM('Eco-fin'!L4:L6)</f>
        <v>499.665932248156</v>
      </c>
      <c r="M7" s="83" t="n">
        <f aca="false">SUM('Eco-fin'!M4:M6)</f>
        <v>522.550631945122</v>
      </c>
      <c r="N7" s="83" t="n">
        <f aca="false">SUM('Eco-fin'!N4:N6)</f>
        <v>546.483450888208</v>
      </c>
      <c r="O7" s="83" t="n">
        <f aca="false">SUM('Eco-fin'!O4:O6)</f>
        <v>571.512392938888</v>
      </c>
      <c r="P7" s="83" t="n">
        <f aca="false">SUM('Eco-fin'!P4:P6)</f>
        <v>597.687660535489</v>
      </c>
      <c r="Q7" s="83" t="n">
        <f aca="false">SUM('Eco-fin'!Q4:Q6)</f>
        <v>625.061755388015</v>
      </c>
      <c r="R7" s="83" t="n">
        <f aca="false">SUM('Eco-fin'!R4:R6)</f>
        <v>653.689583784786</v>
      </c>
      <c r="S7" s="83" t="n">
        <f aca="false">SUM('Eco-fin'!S4:S6)</f>
        <v>683.628566722129</v>
      </c>
      <c r="T7" s="83" t="n">
        <f aca="false">SUM('Eco-fin'!T4:T6)</f>
        <v>714.938755078003</v>
      </c>
      <c r="U7" s="83" t="n">
        <f aca="false">SUM('Eco-fin'!U4:U6)</f>
        <v>747.682950060575</v>
      </c>
      <c r="V7" s="83" t="n">
        <f aca="false">SUM('Eco-fin'!V4:V6)</f>
        <v>781.92682917335</v>
      </c>
    </row>
    <row r="8" customFormat="false" ht="15" hidden="false" customHeight="false" outlineLevel="0" collapsed="false">
      <c r="A8" s="64" t="s">
        <v>118</v>
      </c>
      <c r="B8" s="83"/>
      <c r="C8" s="83" t="n">
        <f aca="false">'Eco-fin'!C29</f>
        <v>30.5411550907947</v>
      </c>
      <c r="D8" s="83" t="n">
        <f aca="false">'Eco-fin'!D29</f>
        <v>32.0682128453344</v>
      </c>
      <c r="E8" s="83" t="n">
        <f aca="false">'Eco-fin'!E29</f>
        <v>33.6716234876012</v>
      </c>
      <c r="F8" s="83" t="n">
        <f aca="false">'Eco-fin'!F29</f>
        <v>35.3552046619812</v>
      </c>
      <c r="G8" s="83" t="n">
        <f aca="false">'Eco-fin'!G29</f>
        <v>37.1229648950803</v>
      </c>
      <c r="H8" s="83" t="n">
        <f aca="false">'Eco-fin'!H29</f>
        <v>38.9791131398343</v>
      </c>
      <c r="I8" s="83" t="n">
        <f aca="false">'Eco-fin'!I29</f>
        <v>40.928068796826</v>
      </c>
      <c r="J8" s="83" t="n">
        <f aca="false">'Eco-fin'!J29</f>
        <v>42.9744722366673</v>
      </c>
      <c r="K8" s="83" t="n">
        <f aca="false">'Eco-fin'!K29</f>
        <v>45.1231958485007</v>
      </c>
      <c r="L8" s="83" t="n">
        <f aca="false">'Eco-fin'!L29</f>
        <v>47.3793556409257</v>
      </c>
      <c r="M8" s="83" t="n">
        <f aca="false">'Eco-fin'!M29</f>
        <v>49.748323422972</v>
      </c>
      <c r="N8" s="83" t="n">
        <f aca="false">'Eco-fin'!N29</f>
        <v>52.2357395941206</v>
      </c>
      <c r="O8" s="83" t="n">
        <f aca="false">'Eco-fin'!O29</f>
        <v>54.8475265738267</v>
      </c>
      <c r="P8" s="83" t="n">
        <f aca="false">'Eco-fin'!P29</f>
        <v>57.589902902518</v>
      </c>
      <c r="Q8" s="83" t="n">
        <f aca="false">'Eco-fin'!Q29</f>
        <v>60.4693980476439</v>
      </c>
      <c r="R8" s="83" t="n">
        <f aca="false">'Eco-fin'!R29</f>
        <v>63.4928679500261</v>
      </c>
      <c r="S8" s="83" t="n">
        <f aca="false">'Eco-fin'!S29</f>
        <v>66.6675113475274</v>
      </c>
      <c r="T8" s="83" t="n">
        <f aca="false">'Eco-fin'!T29</f>
        <v>70.0008869149038</v>
      </c>
      <c r="U8" s="83" t="n">
        <f aca="false">'Eco-fin'!U29</f>
        <v>73.500931260649</v>
      </c>
      <c r="V8" s="83" t="n">
        <f aca="false">'Eco-fin'!V29</f>
        <v>77.1759778236814</v>
      </c>
    </row>
    <row r="9" customFormat="false" ht="15" hidden="false" customHeight="false" outlineLevel="0" collapsed="false">
      <c r="A9" s="64" t="s">
        <v>119</v>
      </c>
      <c r="B9" s="83" t="n">
        <f aca="false">'Eco-fin'!B28</f>
        <v>2908.68143721854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</row>
    <row r="10" customFormat="false" ht="15" hidden="false" customHeight="false" outlineLevel="0" collapsed="false">
      <c r="A10" s="64" t="s">
        <v>114</v>
      </c>
      <c r="B10" s="83" t="n">
        <f aca="false">B7-B8-B9</f>
        <v>-2908.68143721854</v>
      </c>
      <c r="C10" s="83" t="n">
        <f aca="false">C7-C8-C9</f>
        <v>303.378514776215</v>
      </c>
      <c r="D10" s="83" t="n">
        <f aca="false">D7-D8-D9</f>
        <v>317.144977901584</v>
      </c>
      <c r="E10" s="83" t="n">
        <f aca="false">E7-E8-E9</f>
        <v>331.535531395526</v>
      </c>
      <c r="F10" s="83" t="n">
        <f aca="false">F7-F8-F9</f>
        <v>346.578437914793</v>
      </c>
      <c r="G10" s="83" t="n">
        <f aca="false">G7-G8-G9</f>
        <v>362.30323851171</v>
      </c>
      <c r="H10" s="83" t="n">
        <f aca="false">H7-H8-H9</f>
        <v>378.740810382988</v>
      </c>
      <c r="I10" s="83" t="n">
        <f aca="false">I7-I8-I9</f>
        <v>395.923427223341</v>
      </c>
      <c r="J10" s="83" t="n">
        <f aca="false">J7-J8-J9</f>
        <v>413.884822301224</v>
      </c>
      <c r="K10" s="83" t="n">
        <f aca="false">K7-K8-K9</f>
        <v>432.660254379226</v>
      </c>
      <c r="L10" s="83" t="n">
        <f aca="false">L7-L8-L9</f>
        <v>452.28657660723</v>
      </c>
      <c r="M10" s="83" t="n">
        <f aca="false">M7-M8-M9</f>
        <v>472.80230852215</v>
      </c>
      <c r="N10" s="83" t="n">
        <f aca="false">N7-N8-N9</f>
        <v>494.247711294088</v>
      </c>
      <c r="O10" s="83" t="n">
        <f aca="false">O7-O8-O9</f>
        <v>516.664866365062</v>
      </c>
      <c r="P10" s="83" t="n">
        <f aca="false">P7-P8-P9</f>
        <v>540.097757632971</v>
      </c>
      <c r="Q10" s="83" t="n">
        <f aca="false">Q7-Q8-Q9</f>
        <v>564.592357340371</v>
      </c>
      <c r="R10" s="83" t="n">
        <f aca="false">R7-R8-R9</f>
        <v>590.19671583476</v>
      </c>
      <c r="S10" s="83" t="n">
        <f aca="false">S7-S8-S9</f>
        <v>616.961055374602</v>
      </c>
      <c r="T10" s="83" t="n">
        <f aca="false">T7-T8-T9</f>
        <v>644.937868163099</v>
      </c>
      <c r="U10" s="83" t="n">
        <f aca="false">U7-U8-U9</f>
        <v>674.182018799926</v>
      </c>
      <c r="V10" s="83" t="n">
        <f aca="false">V7-V8-V9</f>
        <v>704.750851349668</v>
      </c>
    </row>
    <row r="11" customFormat="false" ht="15" hidden="false" customHeight="false" outlineLevel="0" collapsed="false">
      <c r="A11" s="64" t="s">
        <v>120</v>
      </c>
      <c r="B11" s="83" t="n">
        <f aca="false">B10</f>
        <v>-2908.68143721854</v>
      </c>
      <c r="C11" s="83" t="n">
        <f aca="false">B11+C10</f>
        <v>-2605.30292244233</v>
      </c>
      <c r="D11" s="83" t="n">
        <f aca="false">C11+D10</f>
        <v>-2288.15794454074</v>
      </c>
      <c r="E11" s="83" t="n">
        <f aca="false">D11+E10</f>
        <v>-1956.62241314522</v>
      </c>
      <c r="F11" s="83" t="n">
        <f aca="false">E11+F10</f>
        <v>-1610.04397523043</v>
      </c>
      <c r="G11" s="83" t="n">
        <f aca="false">F11+G10</f>
        <v>-1247.74073671871</v>
      </c>
      <c r="H11" s="83" t="n">
        <f aca="false">G11+H10</f>
        <v>-868.999926335727</v>
      </c>
      <c r="I11" s="83" t="n">
        <f aca="false">H11+I10</f>
        <v>-473.076499112386</v>
      </c>
      <c r="J11" s="83" t="n">
        <f aca="false">I11+J10</f>
        <v>-59.1916768111627</v>
      </c>
      <c r="K11" s="83" t="n">
        <f aca="false">J11+K10</f>
        <v>373.468577568063</v>
      </c>
      <c r="L11" s="83" t="n">
        <f aca="false">K11+L10</f>
        <v>825.755154175293</v>
      </c>
      <c r="M11" s="83" t="n">
        <f aca="false">L11+M10</f>
        <v>1298.55746269744</v>
      </c>
      <c r="N11" s="83" t="n">
        <f aca="false">M11+N10</f>
        <v>1792.80517399153</v>
      </c>
      <c r="O11" s="83" t="n">
        <f aca="false">N11+O10</f>
        <v>2309.47004035659</v>
      </c>
      <c r="P11" s="83" t="n">
        <f aca="false">O11+P10</f>
        <v>2849.56779798956</v>
      </c>
      <c r="Q11" s="83" t="n">
        <f aca="false">P11+Q10</f>
        <v>3414.16015532993</v>
      </c>
      <c r="R11" s="83" t="n">
        <f aca="false">Q11+R10</f>
        <v>4004.35687116469</v>
      </c>
      <c r="S11" s="83" t="n">
        <f aca="false">R11+S10</f>
        <v>4621.3179265393</v>
      </c>
      <c r="T11" s="83" t="n">
        <f aca="false">S11+T10</f>
        <v>5266.25579470239</v>
      </c>
      <c r="U11" s="83" t="n">
        <f aca="false">T11+U10</f>
        <v>5940.43781350232</v>
      </c>
      <c r="V11" s="83" t="n">
        <f aca="false">U11+V10</f>
        <v>6645.18866485199</v>
      </c>
    </row>
    <row r="13" customFormat="false" ht="15" hidden="false" customHeight="false" outlineLevel="0" collapsed="false">
      <c r="A13" s="84" t="s">
        <v>121</v>
      </c>
      <c r="B13" s="85"/>
    </row>
    <row r="14" customFormat="false" ht="15" hidden="false" customHeight="false" outlineLevel="0" collapsed="false">
      <c r="A14" s="86" t="s">
        <v>122</v>
      </c>
      <c r="B14" s="87" t="n">
        <f aca="false">NPV(B3,C10:V10)+B10</f>
        <v>2633.96600238115</v>
      </c>
    </row>
    <row r="15" customFormat="false" ht="15" hidden="false" customHeight="false" outlineLevel="0" collapsed="false">
      <c r="A15" s="86" t="s">
        <v>123</v>
      </c>
      <c r="B15" s="88" t="n">
        <f aca="false">IRR(B10:V10)</f>
        <v>0.126118842873082</v>
      </c>
    </row>
    <row r="16" customFormat="false" ht="15" hidden="false" customHeight="false" outlineLevel="0" collapsed="false">
      <c r="A16" s="86" t="s">
        <v>124</v>
      </c>
      <c r="B16" s="89" t="n">
        <f aca="false" t="array" ref="B16:B16">LOOKUP(0,C11:V11,C5:V5+ABS(C11:V11)/D10:V10)</f>
        <v>8.13680867658179</v>
      </c>
      <c r="C16" s="0" t="n">
        <f aca="false">+B16*12</f>
        <v>97.6417041189815</v>
      </c>
    </row>
    <row r="18" customFormat="false" ht="15" hidden="false" customHeight="true" outlineLevel="0" collapsed="false">
      <c r="A18" s="90" t="s">
        <v>125</v>
      </c>
      <c r="B18" s="82" t="n">
        <f aca="false">+B6</f>
        <v>2026</v>
      </c>
      <c r="C18" s="82" t="n">
        <f aca="false">+C6</f>
        <v>2027</v>
      </c>
      <c r="D18" s="82" t="n">
        <f aca="false">+D6</f>
        <v>2028</v>
      </c>
      <c r="E18" s="82" t="n">
        <f aca="false">+E6</f>
        <v>2029</v>
      </c>
      <c r="F18" s="82" t="n">
        <f aca="false">+F6</f>
        <v>2030</v>
      </c>
      <c r="G18" s="82" t="n">
        <f aca="false">+G6</f>
        <v>2031</v>
      </c>
      <c r="H18" s="82" t="n">
        <f aca="false">+H6</f>
        <v>2032</v>
      </c>
      <c r="I18" s="82" t="n">
        <f aca="false">+I6</f>
        <v>2033</v>
      </c>
      <c r="J18" s="82" t="n">
        <f aca="false">+J6</f>
        <v>2034</v>
      </c>
      <c r="K18" s="82" t="n">
        <f aca="false">+K6</f>
        <v>2035</v>
      </c>
      <c r="L18" s="82" t="n">
        <f aca="false">+L6</f>
        <v>2036</v>
      </c>
      <c r="M18" s="82" t="n">
        <f aca="false">+M6</f>
        <v>2037</v>
      </c>
      <c r="N18" s="82" t="n">
        <f aca="false">+N6</f>
        <v>2038</v>
      </c>
      <c r="O18" s="82" t="n">
        <f aca="false">+O6</f>
        <v>2039</v>
      </c>
      <c r="P18" s="82" t="n">
        <f aca="false">+P6</f>
        <v>2040</v>
      </c>
      <c r="Q18" s="82" t="n">
        <f aca="false">+Q6</f>
        <v>2041</v>
      </c>
      <c r="R18" s="82" t="n">
        <f aca="false">+R6</f>
        <v>2042</v>
      </c>
      <c r="S18" s="82" t="n">
        <f aca="false">+S6</f>
        <v>2043</v>
      </c>
      <c r="T18" s="82" t="n">
        <f aca="false">+T6</f>
        <v>2044</v>
      </c>
      <c r="U18" s="82" t="n">
        <f aca="false">+U6</f>
        <v>2045</v>
      </c>
      <c r="V18" s="82" t="n">
        <f aca="false">+V6</f>
        <v>2046</v>
      </c>
    </row>
    <row r="19" customFormat="false" ht="15" hidden="false" customHeight="false" outlineLevel="0" collapsed="false">
      <c r="A19" s="90"/>
      <c r="B19" s="74"/>
      <c r="C19" s="74" t="n">
        <f aca="false">'Datos técnicos'!B22</f>
        <v>1.1588415405</v>
      </c>
      <c r="D19" s="74" t="n">
        <f aca="false">'Datos técnicos'!C22</f>
        <v>1.154206174338</v>
      </c>
      <c r="E19" s="74" t="n">
        <f aca="false">'Datos técnicos'!D22</f>
        <v>1.14958934964065</v>
      </c>
      <c r="F19" s="74" t="n">
        <f aca="false">'Datos técnicos'!E22</f>
        <v>1.14499099224209</v>
      </c>
      <c r="G19" s="74" t="n">
        <f aca="false">'Datos técnicos'!F22</f>
        <v>1.14041102827312</v>
      </c>
      <c r="H19" s="74" t="n">
        <f aca="false">'Datos técnicos'!G22</f>
        <v>1.13584938416002</v>
      </c>
      <c r="I19" s="74" t="n">
        <f aca="false">'Datos técnicos'!H22</f>
        <v>1.13130598662338</v>
      </c>
      <c r="J19" s="74" t="n">
        <f aca="false">'Datos técnicos'!I22</f>
        <v>1.12678076267689</v>
      </c>
      <c r="K19" s="74" t="n">
        <f aca="false">'Datos técnicos'!J22</f>
        <v>1.12227363962618</v>
      </c>
      <c r="L19" s="74" t="n">
        <f aca="false">'Datos técnicos'!K22</f>
        <v>1.11778454506768</v>
      </c>
      <c r="M19" s="74" t="n">
        <f aca="false">'Datos técnicos'!L22</f>
        <v>1.11331340688741</v>
      </c>
      <c r="N19" s="74" t="n">
        <f aca="false">'Datos técnicos'!M22</f>
        <v>1.10886015325986</v>
      </c>
      <c r="O19" s="74" t="n">
        <f aca="false">'Datos técnicos'!N22</f>
        <v>1.10442471264682</v>
      </c>
      <c r="P19" s="74" t="n">
        <f aca="false">'Datos técnicos'!O22</f>
        <v>1.10000701379623</v>
      </c>
      <c r="Q19" s="74" t="n">
        <f aca="false">'Datos técnicos'!P22</f>
        <v>1.09560698574105</v>
      </c>
      <c r="R19" s="74" t="n">
        <f aca="false">'Datos técnicos'!Q22</f>
        <v>1.09122455779808</v>
      </c>
      <c r="S19" s="74" t="n">
        <f aca="false">'Datos técnicos'!R22</f>
        <v>1.08685965956689</v>
      </c>
      <c r="T19" s="74" t="n">
        <f aca="false">'Datos técnicos'!S22</f>
        <v>1.08251222092862</v>
      </c>
      <c r="U19" s="74" t="n">
        <f aca="false">'Datos técnicos'!T22</f>
        <v>1.07818217204491</v>
      </c>
      <c r="V19" s="74" t="n">
        <f aca="false">'Datos técnicos'!U22</f>
        <v>1.07386944335673</v>
      </c>
    </row>
  </sheetData>
  <mergeCells count="1">
    <mergeCell ref="A18:A19"/>
  </mergeCells>
  <conditionalFormatting sqref="B11:V11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0.79296875" defaultRowHeight="15" customHeight="false" zeroHeight="false" outlineLevelRow="0" outlineLevelCol="0"/>
  <cols>
    <col collapsed="false" customWidth="true" hidden="false" outlineLevel="0" max="1" min="1" style="0" width="39"/>
    <col collapsed="false" customWidth="true" hidden="false" outlineLevel="0" max="3" min="2" style="0" width="38.14"/>
    <col collapsed="false" customWidth="true" hidden="false" outlineLevel="0" max="4" min="4" style="0" width="17.86"/>
  </cols>
  <sheetData>
    <row r="2" customFormat="false" ht="15" hidden="false" customHeight="false" outlineLevel="0" collapsed="false">
      <c r="A2" s="91" t="s">
        <v>83</v>
      </c>
      <c r="B2" s="91"/>
    </row>
    <row r="3" customFormat="false" ht="15" hidden="false" customHeight="false" outlineLevel="0" collapsed="false">
      <c r="A3" s="64" t="s">
        <v>84</v>
      </c>
      <c r="B3" s="92" t="n">
        <v>0.8</v>
      </c>
      <c r="C3" s="93" t="s">
        <v>126</v>
      </c>
    </row>
    <row r="4" customFormat="false" ht="15" hidden="false" customHeight="false" outlineLevel="0" collapsed="false">
      <c r="A4" s="64" t="s">
        <v>85</v>
      </c>
      <c r="B4" s="92" t="n">
        <v>0.004</v>
      </c>
      <c r="C4" s="93" t="s">
        <v>127</v>
      </c>
    </row>
    <row r="5" customFormat="false" ht="15" hidden="false" customHeight="false" outlineLevel="0" collapsed="false">
      <c r="A5" s="64" t="s">
        <v>86</v>
      </c>
      <c r="B5" s="92" t="n">
        <v>0.8</v>
      </c>
      <c r="C5" s="93" t="s">
        <v>128</v>
      </c>
    </row>
    <row r="7" customFormat="false" ht="15" hidden="false" customHeight="false" outlineLevel="0" collapsed="false">
      <c r="A7" s="91" t="s">
        <v>109</v>
      </c>
      <c r="B7" s="91"/>
    </row>
    <row r="8" customFormat="false" ht="15" hidden="false" customHeight="false" outlineLevel="0" collapsed="false">
      <c r="A8" s="86" t="s">
        <v>129</v>
      </c>
      <c r="B8" s="94" t="n">
        <v>1.5</v>
      </c>
    </row>
    <row r="9" customFormat="false" ht="15" hidden="false" customHeight="false" outlineLevel="0" collapsed="false">
      <c r="A9" s="86" t="s">
        <v>130</v>
      </c>
      <c r="B9" s="94" t="n">
        <f aca="false">+IF('Datos de entrada'!A2="Pequeña Demanda Residencial (T1-R1, T1-R2 o T1-R3)",B8,B8/1.21)</f>
        <v>1.5</v>
      </c>
      <c r="C9" s="95" t="s">
        <v>131</v>
      </c>
    </row>
    <row r="10" customFormat="false" ht="15" hidden="false" customHeight="false" outlineLevel="0" collapsed="false">
      <c r="A10" s="86" t="s">
        <v>132</v>
      </c>
      <c r="B10" s="96" t="n">
        <v>695121.24</v>
      </c>
      <c r="C10" s="95" t="s">
        <v>133</v>
      </c>
    </row>
    <row r="11" customFormat="false" ht="15" hidden="false" customHeight="false" outlineLevel="0" collapsed="false">
      <c r="A11" s="97" t="s">
        <v>134</v>
      </c>
      <c r="B11" s="98" t="n">
        <v>0.105</v>
      </c>
      <c r="C11" s="95"/>
    </row>
    <row r="12" customFormat="false" ht="15" hidden="false" customHeight="false" outlineLevel="0" collapsed="false">
      <c r="A12" s="86" t="s">
        <v>135</v>
      </c>
      <c r="B12" s="94" t="n">
        <f aca="false">+IF('Datos de entrada'!A2="Pequeña Demanda Residencial (T1-R1, T1-R2 o T1-R3)",(B10/B17)*(1+B11),B10/B17)</f>
        <v>508.681437218543</v>
      </c>
      <c r="C12" s="95" t="str">
        <f aca="false">+C9</f>
        <v>incluye IVA para T1</v>
      </c>
    </row>
    <row r="13" customFormat="false" ht="15" hidden="false" customHeight="false" outlineLevel="0" collapsed="false">
      <c r="A13" s="86" t="s">
        <v>136</v>
      </c>
      <c r="B13" s="99" t="n">
        <v>0.01</v>
      </c>
      <c r="C13" s="95"/>
    </row>
    <row r="14" customFormat="false" ht="15" hidden="false" customHeight="false" outlineLevel="0" collapsed="false">
      <c r="A14" s="86" t="s">
        <v>137</v>
      </c>
      <c r="B14" s="94" t="n">
        <f aca="false">+B13*'Eco-fin'!B28</f>
        <v>29.0868143721854</v>
      </c>
      <c r="C14" s="95" t="str">
        <f aca="false">+C9</f>
        <v>incluye IVA para T1</v>
      </c>
      <c r="G14" s="69"/>
    </row>
    <row r="15" customFormat="false" ht="15" hidden="false" customHeight="false" outlineLevel="0" collapsed="false">
      <c r="B15" s="100"/>
    </row>
    <row r="16" customFormat="false" ht="15" hidden="false" customHeight="false" outlineLevel="0" collapsed="false">
      <c r="A16" s="91" t="s">
        <v>138</v>
      </c>
      <c r="B16" s="91"/>
    </row>
    <row r="17" customFormat="false" ht="15" hidden="false" customHeight="false" outlineLevel="0" collapsed="false">
      <c r="A17" s="64" t="s">
        <v>99</v>
      </c>
      <c r="B17" s="101" t="n">
        <v>1510</v>
      </c>
      <c r="C17" s="95" t="s">
        <v>139</v>
      </c>
    </row>
    <row r="18" customFormat="false" ht="15" hidden="false" customHeight="false" outlineLevel="0" collapsed="false">
      <c r="A18" s="64" t="s">
        <v>140</v>
      </c>
      <c r="B18" s="102" t="n">
        <v>0.05</v>
      </c>
      <c r="C18" s="93" t="s">
        <v>127</v>
      </c>
    </row>
    <row r="19" customFormat="false" ht="15" hidden="false" customHeight="false" outlineLevel="0" collapsed="false">
      <c r="A19" s="64" t="s">
        <v>141</v>
      </c>
      <c r="B19" s="102" t="n">
        <v>0.05</v>
      </c>
      <c r="C19" s="93" t="s">
        <v>127</v>
      </c>
    </row>
    <row r="20" customFormat="false" ht="15" hidden="false" customHeight="false" outlineLevel="0" collapsed="false">
      <c r="B20" s="67"/>
    </row>
    <row r="21" customFormat="false" ht="15" hidden="false" customHeight="false" outlineLevel="0" collapsed="false">
      <c r="A21" s="103" t="s">
        <v>142</v>
      </c>
      <c r="B21" s="103"/>
      <c r="C21" s="103"/>
      <c r="D21" s="103"/>
    </row>
    <row r="22" customFormat="false" ht="15" hidden="false" customHeight="false" outlineLevel="0" collapsed="false">
      <c r="A22" s="104" t="s">
        <v>143</v>
      </c>
      <c r="B22" s="104" t="s">
        <v>144</v>
      </c>
      <c r="C22" s="104" t="s">
        <v>145</v>
      </c>
      <c r="D22" s="104" t="s">
        <v>146</v>
      </c>
    </row>
    <row r="23" customFormat="false" ht="15" hidden="false" customHeight="false" outlineLevel="0" collapsed="false">
      <c r="A23" s="64" t="s">
        <v>147</v>
      </c>
      <c r="B23" s="105" t="n">
        <v>123.87894</v>
      </c>
      <c r="C23" s="106" t="n">
        <f aca="false">+B23</f>
        <v>123.87894</v>
      </c>
      <c r="D23" s="107" t="s">
        <v>148</v>
      </c>
    </row>
    <row r="24" customFormat="false" ht="15" hidden="false" customHeight="false" outlineLevel="0" collapsed="false">
      <c r="A24" s="64" t="s">
        <v>149</v>
      </c>
      <c r="B24" s="105" t="n">
        <v>130.54303</v>
      </c>
      <c r="C24" s="106" t="n">
        <f aca="false">+B24</f>
        <v>130.54303</v>
      </c>
      <c r="D24" s="107" t="s">
        <v>148</v>
      </c>
    </row>
    <row r="25" customFormat="false" ht="15" hidden="false" customHeight="false" outlineLevel="0" collapsed="false">
      <c r="A25" s="64" t="s">
        <v>150</v>
      </c>
      <c r="B25" s="105" t="n">
        <v>130.48055</v>
      </c>
      <c r="C25" s="106" t="n">
        <f aca="false">+B25</f>
        <v>130.48055</v>
      </c>
      <c r="D25" s="107" t="s">
        <v>148</v>
      </c>
    </row>
    <row r="26" customFormat="false" ht="15" hidden="false" customHeight="false" outlineLevel="0" collapsed="false">
      <c r="A26" s="64" t="s">
        <v>151</v>
      </c>
      <c r="B26" s="105" t="n">
        <v>130.47924</v>
      </c>
      <c r="C26" s="106" t="n">
        <f aca="false">+B26</f>
        <v>130.47924</v>
      </c>
      <c r="D26" s="107" t="s">
        <v>148</v>
      </c>
    </row>
    <row r="27" customFormat="false" ht="15" hidden="false" customHeight="false" outlineLevel="0" collapsed="false">
      <c r="A27" s="64" t="s">
        <v>152</v>
      </c>
      <c r="B27" s="105" t="n">
        <v>130.438759795</v>
      </c>
      <c r="C27" s="106" t="n">
        <f aca="false">+B27</f>
        <v>130.438759795</v>
      </c>
      <c r="D27" s="107" t="s">
        <v>148</v>
      </c>
    </row>
    <row r="28" customFormat="false" ht="15" hidden="false" customHeight="false" outlineLevel="0" collapsed="false">
      <c r="A28" s="64" t="s">
        <v>153</v>
      </c>
      <c r="B28" s="105" t="n">
        <v>117.49302985</v>
      </c>
      <c r="C28" s="106" t="n">
        <f aca="false">+B28</f>
        <v>117.49302985</v>
      </c>
      <c r="D28" s="107" t="s">
        <v>154</v>
      </c>
    </row>
    <row r="29" customFormat="false" ht="15" hidden="false" customHeight="false" outlineLevel="0" collapsed="false">
      <c r="A29" s="64" t="s">
        <v>155</v>
      </c>
      <c r="B29" s="105" t="n">
        <v>123.787912655</v>
      </c>
      <c r="C29" s="106" t="n">
        <f aca="false">+B29</f>
        <v>123.787912655</v>
      </c>
      <c r="D29" s="107" t="s">
        <v>148</v>
      </c>
    </row>
    <row r="30" customFormat="false" ht="15" hidden="false" customHeight="false" outlineLevel="0" collapsed="false">
      <c r="A30" s="108" t="s">
        <v>156</v>
      </c>
    </row>
    <row r="32" customFormat="false" ht="15" hidden="false" customHeight="false" outlineLevel="0" collapsed="false">
      <c r="A32" s="91" t="s">
        <v>107</v>
      </c>
      <c r="B32" s="91"/>
    </row>
    <row r="33" customFormat="false" ht="15" hidden="false" customHeight="false" outlineLevel="0" collapsed="false">
      <c r="A33" s="64" t="s">
        <v>157</v>
      </c>
      <c r="B33" s="102" t="n">
        <v>0.2</v>
      </c>
    </row>
    <row r="34" customFormat="false" ht="15" hidden="false" customHeight="false" outlineLevel="0" collapsed="false">
      <c r="A34" s="86" t="s">
        <v>58</v>
      </c>
      <c r="B34" s="109" t="n">
        <v>0.21</v>
      </c>
    </row>
    <row r="35" customFormat="false" ht="15" hidden="false" customHeight="false" outlineLevel="0" collapsed="false">
      <c r="A35" s="86" t="s">
        <v>158</v>
      </c>
      <c r="B35" s="109" t="n">
        <f aca="false">+IF('Datos de entrada'!A2="Pequeña Demanda Residencial (T1-R1, T1-R2 o T1-R3)",B33+B34,B33)</f>
        <v>0.41</v>
      </c>
      <c r="C35" s="95" t="s">
        <v>159</v>
      </c>
    </row>
  </sheetData>
  <mergeCells count="5">
    <mergeCell ref="A2:B2"/>
    <mergeCell ref="A7:B7"/>
    <mergeCell ref="A16:B16"/>
    <mergeCell ref="A21:D21"/>
    <mergeCell ref="A32:B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S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8" activeCellId="0" sqref="I28"/>
    </sheetView>
  </sheetViews>
  <sheetFormatPr defaultColWidth="10.79296875" defaultRowHeight="15" customHeight="false" zeroHeight="false" outlineLevelRow="0" outlineLevelCol="0"/>
  <cols>
    <col collapsed="false" customWidth="true" hidden="false" outlineLevel="0" max="1" min="1" style="0" width="55.42"/>
    <col collapsed="false" customWidth="true" hidden="false" outlineLevel="0" max="2" min="2" style="0" width="11.57"/>
    <col collapsed="false" customWidth="true" hidden="false" outlineLevel="0" max="3" min="3" style="0" width="11.14"/>
    <col collapsed="false" customWidth="true" hidden="false" outlineLevel="0" max="4" min="4" style="0" width="15.42"/>
    <col collapsed="false" customWidth="true" hidden="false" outlineLevel="0" max="5" min="5" style="0" width="11.14"/>
    <col collapsed="false" customWidth="true" hidden="false" outlineLevel="0" max="9" min="6" style="0" width="13.57"/>
  </cols>
  <sheetData>
    <row r="2" customFormat="false" ht="15" hidden="false" customHeight="false" outlineLevel="0" collapsed="false">
      <c r="I2" s="2" t="s">
        <v>160</v>
      </c>
    </row>
    <row r="3" customFormat="false" ht="15" hidden="false" customHeight="false" outlineLevel="0" collapsed="false">
      <c r="A3" s="85" t="s">
        <v>161</v>
      </c>
      <c r="B3" s="2" t="s">
        <v>147</v>
      </c>
      <c r="C3" s="2" t="s">
        <v>149</v>
      </c>
      <c r="D3" s="2" t="s">
        <v>150</v>
      </c>
      <c r="E3" s="2" t="s">
        <v>151</v>
      </c>
      <c r="F3" s="2" t="s">
        <v>152</v>
      </c>
      <c r="G3" s="2" t="s">
        <v>153</v>
      </c>
      <c r="H3" s="2" t="s">
        <v>155</v>
      </c>
      <c r="I3" s="85" t="str">
        <f aca="false">+'Datos técnicos'!B9</f>
        <v>T1-R</v>
      </c>
      <c r="P3" s="69" t="s">
        <v>151</v>
      </c>
      <c r="Q3" s="69" t="s">
        <v>152</v>
      </c>
      <c r="R3" s="69" t="s">
        <v>153</v>
      </c>
      <c r="S3" s="69" t="s">
        <v>155</v>
      </c>
    </row>
    <row r="4" customFormat="false" ht="15" hidden="false" customHeight="false" outlineLevel="0" collapsed="false">
      <c r="A4" s="0" t="n">
        <v>1</v>
      </c>
      <c r="B4" s="110" t="n">
        <v>900</v>
      </c>
      <c r="C4" s="110" t="n">
        <v>1600</v>
      </c>
      <c r="D4" s="110" t="n">
        <v>2700</v>
      </c>
      <c r="E4" s="110" t="n">
        <f aca="false">ROUND((E$17*P4/P$17)/100,0)*100</f>
        <v>1600</v>
      </c>
      <c r="F4" s="110" t="n">
        <f aca="false">ROUND((F$17*Q4/Q$17)/100,0)*100</f>
        <v>6000</v>
      </c>
      <c r="G4" s="110" t="n">
        <f aca="false">ROUND((G$17*R4/R$17)/100,0)*100</f>
        <v>7900</v>
      </c>
      <c r="H4" s="110" t="n">
        <f aca="false">ROUND((H$17*S4/S$17)/100,0)*100</f>
        <v>1300</v>
      </c>
      <c r="I4" s="111" t="n">
        <f aca="false">+HLOOKUP($I$3,$B$3:$H$15,A4+1,0)</f>
        <v>900</v>
      </c>
      <c r="P4" s="0" t="n">
        <v>104738057.93</v>
      </c>
      <c r="Q4" s="0" t="n">
        <v>145453788.51</v>
      </c>
      <c r="R4" s="0" t="n">
        <v>246467137.05</v>
      </c>
      <c r="S4" s="0" t="n">
        <v>128810765.95</v>
      </c>
    </row>
    <row r="5" customFormat="false" ht="15" hidden="false" customHeight="false" outlineLevel="0" collapsed="false">
      <c r="A5" s="0" t="n">
        <v>2</v>
      </c>
      <c r="B5" s="110" t="n">
        <v>700</v>
      </c>
      <c r="C5" s="110" t="n">
        <v>1300</v>
      </c>
      <c r="D5" s="110" t="n">
        <v>2600</v>
      </c>
      <c r="E5" s="110" t="n">
        <f aca="false">ROUND((E$17*P5/P$17)/100,0)*100</f>
        <v>2400</v>
      </c>
      <c r="F5" s="110" t="n">
        <f aca="false">ROUND((F$17*Q5/Q$17)/100,0)*100</f>
        <v>8500</v>
      </c>
      <c r="G5" s="110" t="n">
        <f aca="false">ROUND((G$17*R5/R$17)/100,0)*100</f>
        <v>10800</v>
      </c>
      <c r="H5" s="110" t="n">
        <f aca="false">ROUND((H$17*S5/S$17)/100,0)*100</f>
        <v>1500</v>
      </c>
      <c r="I5" s="111" t="n">
        <f aca="false">+HLOOKUP($I$3,$B$3:$H$15,A5+1,0)</f>
        <v>700</v>
      </c>
      <c r="P5" s="0" t="n">
        <v>151292238.51</v>
      </c>
      <c r="Q5" s="0" t="n">
        <v>204542207.41</v>
      </c>
      <c r="R5" s="0" t="n">
        <v>339034226.76</v>
      </c>
      <c r="S5" s="0" t="n">
        <v>157001958.6</v>
      </c>
    </row>
    <row r="6" customFormat="false" ht="15" hidden="false" customHeight="false" outlineLevel="0" collapsed="false">
      <c r="A6" s="0" t="n">
        <v>3</v>
      </c>
      <c r="B6" s="110" t="n">
        <v>600</v>
      </c>
      <c r="C6" s="110" t="n">
        <v>1300</v>
      </c>
      <c r="D6" s="110" t="n">
        <v>2500</v>
      </c>
      <c r="E6" s="110" t="n">
        <f aca="false">ROUND((E$17*P6/P$17)/100,0)*100</f>
        <v>2400</v>
      </c>
      <c r="F6" s="110" t="n">
        <f aca="false">ROUND((F$17*Q6/Q$17)/100,0)*100</f>
        <v>8900</v>
      </c>
      <c r="G6" s="110" t="n">
        <f aca="false">ROUND((G$17*R6/R$17)/100,0)*100</f>
        <v>11400</v>
      </c>
      <c r="H6" s="110" t="n">
        <f aca="false">ROUND((H$17*S6/S$17)/100,0)*100</f>
        <v>1400</v>
      </c>
      <c r="I6" s="111" t="n">
        <f aca="false">+HLOOKUP($I$3,$B$3:$H$15,A6+1,0)</f>
        <v>600</v>
      </c>
      <c r="P6" s="0" t="n">
        <v>151508825.22</v>
      </c>
      <c r="Q6" s="0" t="n">
        <v>214335145.72</v>
      </c>
      <c r="R6" s="0" t="n">
        <v>356712529.04</v>
      </c>
      <c r="S6" s="0" t="n">
        <v>149071679.36</v>
      </c>
    </row>
    <row r="7" customFormat="false" ht="15" hidden="false" customHeight="false" outlineLevel="0" collapsed="false">
      <c r="A7" s="0" t="n">
        <v>4</v>
      </c>
      <c r="B7" s="110" t="n">
        <v>400</v>
      </c>
      <c r="C7" s="110" t="n">
        <v>1000</v>
      </c>
      <c r="D7" s="110" t="n">
        <v>1900</v>
      </c>
      <c r="E7" s="110" t="n">
        <f aca="false">ROUND((E$17*P7/P$17)/100,0)*100</f>
        <v>2100</v>
      </c>
      <c r="F7" s="110" t="n">
        <f aca="false">ROUND((F$17*Q7/Q$17)/100,0)*100</f>
        <v>7800</v>
      </c>
      <c r="G7" s="110" t="n">
        <f aca="false">ROUND((G$17*R7/R$17)/100,0)*100</f>
        <v>9600</v>
      </c>
      <c r="H7" s="110" t="n">
        <f aca="false">ROUND((H$17*S7/S$17)/100,0)*100</f>
        <v>1200</v>
      </c>
      <c r="I7" s="111" t="n">
        <f aca="false">+HLOOKUP($I$3,$B$3:$H$15,A7+1,0)</f>
        <v>400</v>
      </c>
      <c r="P7" s="0" t="n">
        <v>132618369.86</v>
      </c>
      <c r="Q7" s="0" t="n">
        <v>189437371.04</v>
      </c>
      <c r="R7" s="0" t="n">
        <v>300506260.76</v>
      </c>
      <c r="S7" s="0" t="n">
        <v>127144978.25</v>
      </c>
    </row>
    <row r="8" customFormat="false" ht="15" hidden="false" customHeight="false" outlineLevel="0" collapsed="false">
      <c r="A8" s="0" t="n">
        <v>5</v>
      </c>
      <c r="B8" s="110" t="n">
        <v>400</v>
      </c>
      <c r="C8" s="110" t="n">
        <v>1100</v>
      </c>
      <c r="D8" s="110" t="n">
        <v>2100</v>
      </c>
      <c r="E8" s="110" t="n">
        <f aca="false">ROUND((E$17*P8/P$17)/100,0)*100</f>
        <v>2500</v>
      </c>
      <c r="F8" s="110" t="n">
        <f aca="false">ROUND((F$17*Q8/Q$17)/100,0)*100</f>
        <v>9400</v>
      </c>
      <c r="G8" s="110" t="n">
        <f aca="false">ROUND((G$17*R8/R$17)/100,0)*100</f>
        <v>11700</v>
      </c>
      <c r="H8" s="110" t="n">
        <f aca="false">ROUND((H$17*S8/S$17)/100,0)*100</f>
        <v>1200</v>
      </c>
      <c r="I8" s="111" t="n">
        <f aca="false">+HLOOKUP($I$3,$B$3:$H$15,A8+1,0)</f>
        <v>400</v>
      </c>
      <c r="P8" s="0" t="n">
        <v>157031595.04</v>
      </c>
      <c r="Q8" s="0" t="n">
        <v>227912895.03</v>
      </c>
      <c r="R8" s="0" t="n">
        <v>365394363.58</v>
      </c>
      <c r="S8" s="0" t="n">
        <v>127135134.14</v>
      </c>
    </row>
    <row r="9" customFormat="false" ht="15" hidden="false" customHeight="false" outlineLevel="0" collapsed="false">
      <c r="A9" s="0" t="n">
        <v>6</v>
      </c>
      <c r="B9" s="110" t="n">
        <v>600</v>
      </c>
      <c r="C9" s="110" t="n">
        <v>1200</v>
      </c>
      <c r="D9" s="110" t="n">
        <v>2300</v>
      </c>
      <c r="E9" s="110" t="n">
        <f aca="false">ROUND((E$17*P9/P$17)/100,0)*100</f>
        <v>2600</v>
      </c>
      <c r="F9" s="110" t="n">
        <f aca="false">ROUND((F$17*Q9/Q$17)/100,0)*100</f>
        <v>9800</v>
      </c>
      <c r="G9" s="110" t="n">
        <f aca="false">ROUND((G$17*R9/R$17)/100,0)*100</f>
        <v>11500</v>
      </c>
      <c r="H9" s="110" t="n">
        <f aca="false">ROUND((H$17*S9/S$17)/100,0)*100</f>
        <v>1000</v>
      </c>
      <c r="I9" s="111" t="n">
        <f aca="false">+HLOOKUP($I$3,$B$3:$H$15,A9+1,0)</f>
        <v>600</v>
      </c>
      <c r="P9" s="0" t="n">
        <v>168108120.23</v>
      </c>
      <c r="Q9" s="0" t="n">
        <v>237116921.12</v>
      </c>
      <c r="R9" s="0" t="n">
        <v>358247653.27</v>
      </c>
      <c r="S9" s="0" t="n">
        <v>100941117.23</v>
      </c>
    </row>
    <row r="10" customFormat="false" ht="15" hidden="false" customHeight="false" outlineLevel="0" collapsed="false">
      <c r="A10" s="0" t="n">
        <v>7</v>
      </c>
      <c r="B10" s="110" t="n">
        <v>900</v>
      </c>
      <c r="C10" s="110" t="n">
        <v>1200</v>
      </c>
      <c r="D10" s="110" t="n">
        <v>2200</v>
      </c>
      <c r="E10" s="110" t="n">
        <f aca="false">ROUND((E$17*P10/P$17)/100,0)*100</f>
        <v>2600</v>
      </c>
      <c r="F10" s="110" t="n">
        <f aca="false">ROUND((F$17*Q10/Q$17)/100,0)*100</f>
        <v>10000</v>
      </c>
      <c r="G10" s="110" t="n">
        <f aca="false">ROUND((G$17*R10/R$17)/100,0)*100</f>
        <v>11900</v>
      </c>
      <c r="H10" s="110" t="n">
        <f aca="false">ROUND((H$17*S10/S$17)/100,0)*100</f>
        <v>1100</v>
      </c>
      <c r="I10" s="111" t="n">
        <f aca="false">+HLOOKUP($I$3,$B$3:$H$15,A10+1,0)</f>
        <v>900</v>
      </c>
      <c r="P10" s="0" t="n">
        <v>164084766.96</v>
      </c>
      <c r="Q10" s="0" t="n">
        <v>242283415.22</v>
      </c>
      <c r="R10" s="0" t="n">
        <v>371487911.53</v>
      </c>
      <c r="S10" s="0" t="n">
        <v>110710893.35</v>
      </c>
    </row>
    <row r="11" customFormat="false" ht="15" hidden="false" customHeight="false" outlineLevel="0" collapsed="false">
      <c r="A11" s="0" t="n">
        <v>8</v>
      </c>
      <c r="B11" s="110" t="n">
        <v>700</v>
      </c>
      <c r="C11" s="110" t="n">
        <v>1100</v>
      </c>
      <c r="D11" s="110" t="n">
        <v>2200</v>
      </c>
      <c r="E11" s="110" t="n">
        <f aca="false">ROUND((E$17*P11/P$17)/100,0)*100</f>
        <v>2900</v>
      </c>
      <c r="F11" s="110" t="n">
        <f aca="false">ROUND((F$17*Q11/Q$17)/100,0)*100</f>
        <v>10700</v>
      </c>
      <c r="G11" s="110" t="n">
        <f aca="false">ROUND((G$17*R11/R$17)/100,0)*100</f>
        <v>13100</v>
      </c>
      <c r="H11" s="110" t="n">
        <f aca="false">ROUND((H$17*S11/S$17)/100,0)*100</f>
        <v>1600</v>
      </c>
      <c r="I11" s="111" t="n">
        <f aca="false">+HLOOKUP($I$3,$B$3:$H$15,A11+1,0)</f>
        <v>700</v>
      </c>
      <c r="P11" s="0" t="n">
        <v>182425981.94</v>
      </c>
      <c r="Q11" s="0" t="n">
        <v>257144045.1</v>
      </c>
      <c r="R11" s="0" t="n">
        <v>410114566.8</v>
      </c>
      <c r="S11" s="0" t="n">
        <v>166740168.5</v>
      </c>
    </row>
    <row r="12" customFormat="false" ht="15" hidden="false" customHeight="false" outlineLevel="0" collapsed="false">
      <c r="A12" s="0" t="n">
        <v>9</v>
      </c>
      <c r="B12" s="110" t="n">
        <v>500</v>
      </c>
      <c r="C12" s="110" t="n">
        <v>1100</v>
      </c>
      <c r="D12" s="110" t="n">
        <v>1900</v>
      </c>
      <c r="E12" s="110" t="n">
        <f aca="false">ROUND((E$17*P12/P$17)/100,0)*100</f>
        <v>3700</v>
      </c>
      <c r="F12" s="110" t="n">
        <f aca="false">ROUND((F$17*Q12/Q$17)/100,0)*100</f>
        <v>14600</v>
      </c>
      <c r="G12" s="110" t="n">
        <f aca="false">ROUND((G$17*R12/R$17)/100,0)*100</f>
        <v>15600</v>
      </c>
      <c r="H12" s="110" t="n">
        <f aca="false">ROUND((H$17*S12/S$17)/100,0)*100</f>
        <v>2500</v>
      </c>
      <c r="I12" s="111" t="n">
        <f aca="false">+HLOOKUP($I$3,$B$3:$H$15,A12+1,0)</f>
        <v>500</v>
      </c>
      <c r="P12" s="0" t="n">
        <v>238067391.65</v>
      </c>
      <c r="Q12" s="0" t="n">
        <v>353573917.23</v>
      </c>
      <c r="R12" s="0" t="n">
        <v>487213026.81</v>
      </c>
      <c r="S12" s="0" t="n">
        <v>253657540.41</v>
      </c>
    </row>
    <row r="13" customFormat="false" ht="15" hidden="false" customHeight="false" outlineLevel="0" collapsed="false">
      <c r="A13" s="0" t="n">
        <v>10</v>
      </c>
      <c r="B13" s="110" t="n">
        <v>500</v>
      </c>
      <c r="C13" s="110" t="n">
        <v>1200</v>
      </c>
      <c r="D13" s="110" t="n">
        <v>2000</v>
      </c>
      <c r="E13" s="110" t="n">
        <f aca="false">ROUND((E$17*P13/P$17)/100,0)*100</f>
        <v>3900</v>
      </c>
      <c r="F13" s="110" t="n">
        <f aca="false">ROUND((F$17*Q13/Q$17)/100,0)*100</f>
        <v>14900</v>
      </c>
      <c r="G13" s="110" t="n">
        <f aca="false">ROUND((G$17*R13/R$17)/100,0)*100</f>
        <v>16300</v>
      </c>
      <c r="H13" s="110" t="n">
        <f aca="false">ROUND((H$17*S13/S$17)/100,0)*100</f>
        <v>2800</v>
      </c>
      <c r="I13" s="111" t="n">
        <f aca="false">+HLOOKUP($I$3,$B$3:$H$15,A13+1,0)</f>
        <v>500</v>
      </c>
      <c r="P13" s="0" t="n">
        <v>247140829.53</v>
      </c>
      <c r="Q13" s="0" t="n">
        <v>358639475.25</v>
      </c>
      <c r="R13" s="0" t="n">
        <v>510583037.38</v>
      </c>
      <c r="S13" s="0" t="n">
        <v>286522486.57</v>
      </c>
    </row>
    <row r="14" customFormat="false" ht="15" hidden="false" customHeight="false" outlineLevel="0" collapsed="false">
      <c r="A14" s="0" t="n">
        <v>11</v>
      </c>
      <c r="B14" s="110" t="n">
        <v>700</v>
      </c>
      <c r="C14" s="110" t="n">
        <v>1500</v>
      </c>
      <c r="D14" s="110" t="n">
        <v>2500</v>
      </c>
      <c r="E14" s="110" t="n">
        <f aca="false">ROUND((E$17*P14/P$17)/100,0)*100</f>
        <v>4300</v>
      </c>
      <c r="F14" s="110" t="n">
        <f aca="false">ROUND((F$17*Q14/Q$17)/100,0)*100</f>
        <v>15200</v>
      </c>
      <c r="G14" s="110" t="n">
        <f aca="false">ROUND((G$17*R14/R$17)/100,0)*100</f>
        <v>16900</v>
      </c>
      <c r="H14" s="110" t="n">
        <f aca="false">ROUND((H$17*S14/S$17)/100,0)*100</f>
        <v>3000</v>
      </c>
      <c r="I14" s="111" t="n">
        <f aca="false">+HLOOKUP($I$3,$B$3:$H$15,A14+1,0)</f>
        <v>700</v>
      </c>
      <c r="P14" s="0" t="n">
        <v>272626605.57</v>
      </c>
      <c r="Q14" s="0" t="n">
        <v>367155725.73</v>
      </c>
      <c r="R14" s="0" t="n">
        <v>528615418.9</v>
      </c>
      <c r="S14" s="0" t="n">
        <v>313338872.53</v>
      </c>
    </row>
    <row r="15" customFormat="false" ht="15" hidden="false" customHeight="false" outlineLevel="0" collapsed="false">
      <c r="A15" s="0" t="n">
        <v>12</v>
      </c>
      <c r="B15" s="110" t="n">
        <v>900</v>
      </c>
      <c r="C15" s="110" t="n">
        <v>1900</v>
      </c>
      <c r="D15" s="110" t="n">
        <v>2300</v>
      </c>
      <c r="E15" s="110" t="n">
        <f aca="false">ROUND((E$17*P15/P$17)/100,0)*100</f>
        <v>4200</v>
      </c>
      <c r="F15" s="110" t="n">
        <f aca="false">ROUND((F$17*Q15/Q$17)/100,0)*100</f>
        <v>15500</v>
      </c>
      <c r="G15" s="110" t="n">
        <f aca="false">ROUND((G$17*R15/R$17)/100,0)*100</f>
        <v>16700</v>
      </c>
      <c r="H15" s="110" t="n">
        <f aca="false">ROUND((H$17*S15/S$17)/100,0)*100</f>
        <v>3200</v>
      </c>
      <c r="I15" s="111" t="n">
        <f aca="false">+HLOOKUP($I$3,$B$3:$H$15,A15+1,0)</f>
        <v>900</v>
      </c>
      <c r="P15" s="0" t="n">
        <v>268025271.462629</v>
      </c>
      <c r="Q15" s="0" t="n">
        <v>374793794.363863</v>
      </c>
      <c r="R15" s="0" t="n">
        <v>521914042.983196</v>
      </c>
      <c r="S15" s="0" t="n">
        <v>333711621.251807</v>
      </c>
    </row>
    <row r="16" customFormat="false" ht="15" hidden="false" customHeight="false" outlineLevel="0" collapsed="false">
      <c r="A16" s="0" t="s">
        <v>162</v>
      </c>
      <c r="B16" s="111" t="n">
        <f aca="false">SUM(B4:B15)</f>
        <v>7800</v>
      </c>
      <c r="C16" s="111" t="n">
        <f aca="false">SUM(C4:C15)</f>
        <v>15500</v>
      </c>
      <c r="D16" s="111" t="n">
        <f aca="false">SUM(D4:D15)</f>
        <v>27200</v>
      </c>
      <c r="E16" s="111" t="n">
        <f aca="false">SUM(E4:E15)</f>
        <v>35200</v>
      </c>
      <c r="F16" s="111" t="n">
        <f aca="false">SUM(F4:F15)</f>
        <v>131300</v>
      </c>
      <c r="G16" s="111" t="n">
        <f aca="false">SUM(G4:G15)</f>
        <v>153400</v>
      </c>
      <c r="H16" s="111" t="n">
        <f aca="false">SUM(H4:H15)</f>
        <v>21800</v>
      </c>
      <c r="I16" s="111" t="n">
        <f aca="false">SUM(I4:I15)</f>
        <v>7800</v>
      </c>
    </row>
    <row r="17" customFormat="false" ht="15" hidden="false" customHeight="false" outlineLevel="0" collapsed="false">
      <c r="A17" s="112" t="s">
        <v>163</v>
      </c>
      <c r="B17" s="113"/>
      <c r="C17" s="113"/>
      <c r="D17" s="113"/>
      <c r="E17" s="113" t="n">
        <f aca="false">ROUND(E18*E20*24*365,0)</f>
        <v>35040</v>
      </c>
      <c r="F17" s="113" t="n">
        <f aca="false">ROUND(F18*F20*24*365,0)</f>
        <v>131400</v>
      </c>
      <c r="G17" s="113" t="n">
        <f aca="false">ROUND(G18*G20*24*365,0)</f>
        <v>153300</v>
      </c>
      <c r="H17" s="113" t="n">
        <f aca="false">ROUND(H18*H20*24*365,0)</f>
        <v>21900</v>
      </c>
      <c r="I17" s="113" t="n">
        <f aca="false">SUM(I4:I15)</f>
        <v>7800</v>
      </c>
      <c r="P17" s="0" t="n">
        <f aca="false">SUM(P4:P15)</f>
        <v>2237668053.90263</v>
      </c>
      <c r="Q17" s="0" t="n">
        <f aca="false">SUM(Q4:Q15)</f>
        <v>3172388701.72386</v>
      </c>
      <c r="R17" s="0" t="n">
        <f aca="false">SUM(R4:R15)</f>
        <v>4796290174.8632</v>
      </c>
      <c r="S17" s="0" t="n">
        <f aca="false">SUM(S4:S15)</f>
        <v>2254787216.14181</v>
      </c>
    </row>
    <row r="18" customFormat="false" ht="15" hidden="false" customHeight="false" outlineLevel="0" collapsed="false">
      <c r="A18" s="114" t="s">
        <v>164</v>
      </c>
      <c r="E18" s="115" t="n">
        <v>0.2</v>
      </c>
      <c r="F18" s="115" t="n">
        <v>0.3</v>
      </c>
      <c r="G18" s="115" t="n">
        <v>0.35</v>
      </c>
      <c r="H18" s="115" t="n">
        <v>0.25</v>
      </c>
    </row>
    <row r="19" customFormat="false" ht="15" hidden="false" customHeight="false" outlineLevel="0" collapsed="false">
      <c r="A19" s="116" t="s">
        <v>165</v>
      </c>
      <c r="E19" s="117" t="n">
        <v>25</v>
      </c>
      <c r="F19" s="117" t="n">
        <v>95</v>
      </c>
      <c r="G19" s="117" t="n">
        <v>155</v>
      </c>
      <c r="H19" s="117" t="n">
        <v>55</v>
      </c>
      <c r="I19" s="85" t="n">
        <f aca="false">+HLOOKUP($I$3,$B$3:$H$20,17,0)</f>
        <v>0</v>
      </c>
    </row>
    <row r="20" customFormat="false" ht="15" hidden="false" customHeight="false" outlineLevel="0" collapsed="false">
      <c r="A20" s="118" t="s">
        <v>166</v>
      </c>
      <c r="B20" s="119" t="n">
        <v>10</v>
      </c>
      <c r="C20" s="119" t="n">
        <v>10</v>
      </c>
      <c r="D20" s="119" t="n">
        <v>20</v>
      </c>
      <c r="E20" s="85" t="n">
        <f aca="false">+MIN(MAX(IF('Datos de entrada'!$B$2&lt;&gt;0,'Datos de entrada'!$B$2,E19),E21),E22)</f>
        <v>20</v>
      </c>
      <c r="F20" s="85" t="n">
        <f aca="false">+MIN(MAX(IF('Datos de entrada'!$B$2&lt;&gt;0,'Datos de entrada'!$B$2,F19),F21),F22)</f>
        <v>50</v>
      </c>
      <c r="G20" s="85" t="n">
        <f aca="false">+MIN(MAX(IF('Datos de entrada'!$B$2&lt;&gt;0,'Datos de entrada'!$B$2,G19),G21),G22)</f>
        <v>50</v>
      </c>
      <c r="H20" s="85" t="n">
        <f aca="false">+MIN(MAX(IF('Datos de entrada'!$B$2&lt;&gt;0,'Datos de entrada'!$B$2,H19),H21),H22)</f>
        <v>10</v>
      </c>
      <c r="I20" s="85" t="n">
        <f aca="false">+HLOOKUP($I$3,$B$3:$H$20,18,0)</f>
        <v>10</v>
      </c>
    </row>
    <row r="21" customFormat="false" ht="15" hidden="false" customHeight="false" outlineLevel="0" collapsed="false">
      <c r="A21" s="116" t="s">
        <v>167</v>
      </c>
      <c r="E21" s="0" t="n">
        <v>20</v>
      </c>
      <c r="F21" s="0" t="n">
        <v>50</v>
      </c>
      <c r="G21" s="0" t="n">
        <v>50</v>
      </c>
      <c r="H21" s="0" t="n">
        <v>10</v>
      </c>
    </row>
    <row r="22" customFormat="false" ht="15" hidden="false" customHeight="false" outlineLevel="0" collapsed="false">
      <c r="A22" s="116" t="s">
        <v>168</v>
      </c>
      <c r="E22" s="0" t="n">
        <v>50</v>
      </c>
    </row>
    <row r="23" customFormat="false" ht="15" hidden="false" customHeight="false" outlineLevel="0" collapsed="false">
      <c r="A23" s="116"/>
    </row>
    <row r="24" customFormat="false" ht="15" hidden="false" customHeight="false" outlineLevel="0" collapsed="false">
      <c r="A24" s="118" t="s">
        <v>169</v>
      </c>
    </row>
    <row r="25" customFormat="false" ht="15" hidden="false" customHeight="false" outlineLevel="0" collapsed="false">
      <c r="A25" s="0" t="s">
        <v>0</v>
      </c>
      <c r="B25" s="0" t="s">
        <v>143</v>
      </c>
      <c r="K25" s="0" t="n">
        <v>906</v>
      </c>
      <c r="L25" s="0" t="n">
        <v>1630</v>
      </c>
      <c r="M25" s="0" t="n">
        <v>2720</v>
      </c>
      <c r="N25" s="0" t="n">
        <f aca="false">+ROUND(K25/100,0)*100</f>
        <v>900</v>
      </c>
      <c r="O25" s="0" t="n">
        <f aca="false">+ROUND(L25/100,0)*100</f>
        <v>1600</v>
      </c>
      <c r="P25" s="0" t="n">
        <f aca="false">+ROUND(M25/100,0)*100</f>
        <v>2700</v>
      </c>
    </row>
    <row r="26" customFormat="false" ht="15" hidden="false" customHeight="false" outlineLevel="0" collapsed="false">
      <c r="A26" s="0" t="s">
        <v>4</v>
      </c>
      <c r="B26" s="0" t="s">
        <v>147</v>
      </c>
      <c r="K26" s="0" t="n">
        <v>661</v>
      </c>
      <c r="L26" s="0" t="n">
        <v>1283</v>
      </c>
      <c r="M26" s="0" t="n">
        <v>2552</v>
      </c>
      <c r="N26" s="0" t="n">
        <f aca="false">+ROUND(K26/100,0)*100</f>
        <v>700</v>
      </c>
      <c r="O26" s="0" t="n">
        <f aca="false">+ROUND(L26/100,0)*100</f>
        <v>1300</v>
      </c>
      <c r="P26" s="0" t="n">
        <f aca="false">+ROUND(M26/100,0)*100</f>
        <v>2600</v>
      </c>
    </row>
    <row r="27" customFormat="false" ht="15" hidden="false" customHeight="false" outlineLevel="0" collapsed="false">
      <c r="A27" s="0" t="s">
        <v>170</v>
      </c>
      <c r="B27" s="0" t="s">
        <v>149</v>
      </c>
      <c r="K27" s="0" t="n">
        <v>605</v>
      </c>
      <c r="L27" s="0" t="n">
        <v>1274</v>
      </c>
      <c r="M27" s="0" t="n">
        <v>2478</v>
      </c>
      <c r="N27" s="0" t="n">
        <f aca="false">+ROUND(K27/100,0)*100</f>
        <v>600</v>
      </c>
      <c r="O27" s="0" t="n">
        <f aca="false">+ROUND(L27/100,0)*100</f>
        <v>1300</v>
      </c>
      <c r="P27" s="0" t="n">
        <f aca="false">+ROUND(M27/100,0)*100</f>
        <v>2500</v>
      </c>
    </row>
    <row r="28" customFormat="false" ht="15" hidden="false" customHeight="false" outlineLevel="0" collapsed="false">
      <c r="A28" s="0" t="s">
        <v>171</v>
      </c>
      <c r="B28" s="0" t="s">
        <v>150</v>
      </c>
      <c r="K28" s="0" t="n">
        <v>422</v>
      </c>
      <c r="L28" s="0" t="n">
        <v>982</v>
      </c>
      <c r="M28" s="0" t="n">
        <v>1867</v>
      </c>
      <c r="N28" s="0" t="n">
        <f aca="false">+ROUND(K28/100,0)*100</f>
        <v>400</v>
      </c>
      <c r="O28" s="0" t="n">
        <f aca="false">+ROUND(L28/100,0)*100</f>
        <v>1000</v>
      </c>
      <c r="P28" s="0" t="n">
        <f aca="false">+ROUND(M28/100,0)*100</f>
        <v>1900</v>
      </c>
    </row>
    <row r="29" customFormat="false" ht="15" hidden="false" customHeight="false" outlineLevel="0" collapsed="false">
      <c r="A29" s="0" t="s">
        <v>172</v>
      </c>
      <c r="B29" s="0" t="s">
        <v>151</v>
      </c>
      <c r="K29" s="0" t="n">
        <v>404</v>
      </c>
      <c r="L29" s="0" t="n">
        <v>1117</v>
      </c>
      <c r="M29" s="0" t="n">
        <v>2051</v>
      </c>
      <c r="N29" s="0" t="n">
        <f aca="false">+ROUND(K29/100,0)*100</f>
        <v>400</v>
      </c>
      <c r="O29" s="0" t="n">
        <f aca="false">+ROUND(L29/100,0)*100</f>
        <v>1100</v>
      </c>
      <c r="P29" s="0" t="n">
        <f aca="false">+ROUND(M29/100,0)*100</f>
        <v>2100</v>
      </c>
    </row>
    <row r="30" customFormat="false" ht="15" hidden="false" customHeight="false" outlineLevel="0" collapsed="false">
      <c r="A30" s="0" t="s">
        <v>173</v>
      </c>
      <c r="B30" s="0" t="s">
        <v>152</v>
      </c>
      <c r="K30" s="0" t="n">
        <v>564</v>
      </c>
      <c r="L30" s="0" t="n">
        <v>1227</v>
      </c>
      <c r="M30" s="0" t="n">
        <v>2333</v>
      </c>
      <c r="N30" s="0" t="n">
        <f aca="false">+ROUND(K30/100,0)*100</f>
        <v>600</v>
      </c>
      <c r="O30" s="0" t="n">
        <f aca="false">+ROUND(L30/100,0)*100</f>
        <v>1200</v>
      </c>
      <c r="P30" s="0" t="n">
        <f aca="false">+ROUND(M30/100,0)*100</f>
        <v>2300</v>
      </c>
    </row>
    <row r="31" customFormat="false" ht="15" hidden="false" customHeight="false" outlineLevel="0" collapsed="false">
      <c r="A31" s="0" t="s">
        <v>174</v>
      </c>
      <c r="B31" s="0" t="s">
        <v>153</v>
      </c>
      <c r="K31" s="0" t="n">
        <v>879</v>
      </c>
      <c r="L31" s="0" t="n">
        <v>1201</v>
      </c>
      <c r="M31" s="0" t="n">
        <v>2222</v>
      </c>
      <c r="N31" s="0" t="n">
        <f aca="false">+ROUND(K31/100,0)*100</f>
        <v>900</v>
      </c>
      <c r="O31" s="0" t="n">
        <f aca="false">+ROUND(L31/100,0)*100</f>
        <v>1200</v>
      </c>
      <c r="P31" s="0" t="n">
        <f aca="false">+ROUND(M31/100,0)*100</f>
        <v>2200</v>
      </c>
    </row>
    <row r="32" customFormat="false" ht="15" hidden="false" customHeight="false" outlineLevel="0" collapsed="false">
      <c r="A32" s="0" t="s">
        <v>175</v>
      </c>
      <c r="B32" s="0" t="s">
        <v>155</v>
      </c>
      <c r="K32" s="0" t="n">
        <v>679</v>
      </c>
      <c r="L32" s="0" t="n">
        <v>1083</v>
      </c>
      <c r="M32" s="0" t="n">
        <v>2165</v>
      </c>
      <c r="N32" s="0" t="n">
        <f aca="false">+ROUND(K32/100,0)*100</f>
        <v>700</v>
      </c>
      <c r="O32" s="0" t="n">
        <f aca="false">+ROUND(L32/100,0)*100</f>
        <v>1100</v>
      </c>
      <c r="P32" s="0" t="n">
        <f aca="false">+ROUND(M32/100,0)*100</f>
        <v>2200</v>
      </c>
    </row>
    <row r="33" customFormat="false" ht="15" hidden="false" customHeight="false" outlineLevel="0" collapsed="false">
      <c r="K33" s="0" t="n">
        <v>467</v>
      </c>
      <c r="L33" s="0" t="n">
        <v>1060</v>
      </c>
      <c r="M33" s="0" t="n">
        <v>1880</v>
      </c>
      <c r="N33" s="0" t="n">
        <f aca="false">+ROUND(K33/100,0)*100</f>
        <v>500</v>
      </c>
      <c r="O33" s="0" t="n">
        <f aca="false">+ROUND(L33/100,0)*100</f>
        <v>1100</v>
      </c>
      <c r="P33" s="0" t="n">
        <f aca="false">+ROUND(M33/100,0)*100</f>
        <v>1900</v>
      </c>
    </row>
    <row r="34" customFormat="false" ht="15" hidden="false" customHeight="false" outlineLevel="0" collapsed="false">
      <c r="K34" s="0" t="n">
        <v>490</v>
      </c>
      <c r="L34" s="0" t="n">
        <v>1185</v>
      </c>
      <c r="M34" s="0" t="n">
        <v>2044</v>
      </c>
      <c r="N34" s="0" t="n">
        <f aca="false">+ROUND(K34/100,0)*100</f>
        <v>500</v>
      </c>
      <c r="O34" s="0" t="n">
        <f aca="false">+ROUND(L34/100,0)*100</f>
        <v>1200</v>
      </c>
      <c r="P34" s="0" t="n">
        <f aca="false">+ROUND(M34/100,0)*100</f>
        <v>2000</v>
      </c>
    </row>
    <row r="35" customFormat="false" ht="15" hidden="false" customHeight="false" outlineLevel="0" collapsed="false">
      <c r="K35" s="0" t="n">
        <v>703</v>
      </c>
      <c r="L35" s="0" t="n">
        <v>1544</v>
      </c>
      <c r="M35" s="0" t="n">
        <v>2522</v>
      </c>
      <c r="N35" s="0" t="n">
        <f aca="false">+ROUND(K35/100,0)*100</f>
        <v>700</v>
      </c>
      <c r="O35" s="0" t="n">
        <f aca="false">+ROUND(L35/100,0)*100</f>
        <v>1500</v>
      </c>
      <c r="P35" s="0" t="n">
        <f aca="false">+ROUND(M35/100,0)*100</f>
        <v>2500</v>
      </c>
    </row>
    <row r="36" customFormat="false" ht="15" hidden="false" customHeight="false" outlineLevel="0" collapsed="false">
      <c r="K36" s="0" t="n">
        <v>883</v>
      </c>
      <c r="L36" s="0" t="n">
        <v>1911</v>
      </c>
      <c r="M36" s="0" t="n">
        <v>2315</v>
      </c>
      <c r="N36" s="0" t="n">
        <f aca="false">+ROUND(K36/100,0)*100</f>
        <v>900</v>
      </c>
      <c r="O36" s="0" t="n">
        <f aca="false">+ROUND(L36/100,0)*100</f>
        <v>1900</v>
      </c>
      <c r="P36" s="0" t="n">
        <f aca="false">+ROUND(M36/100,0)*100</f>
        <v>2300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2024-05-21T19:34:50Z</dcterms:created>
  <dc:creator>Samuel Silva</dc:creator>
  <dc:description/>
  <dc:language>es-AR</dc:language>
  <cp:lastModifiedBy>Dr. Ing. Gerardo Moreno</cp:lastModifiedBy>
  <dcterms:modified xsi:type="dcterms:W3CDTF">2026-07-07T12:16:12Z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